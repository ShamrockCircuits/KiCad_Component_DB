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PPS\KiCad_Component_DB\"/>
    </mc:Choice>
  </mc:AlternateContent>
  <xr:revisionPtr revIDLastSave="0" documentId="13_ncr:1_{F9EAAED1-E3FB-4A77-BB13-1A26EF65D425}" xr6:coauthVersionLast="47" xr6:coauthVersionMax="47" xr10:uidLastSave="{00000000-0000-0000-0000-000000000000}"/>
  <bookViews>
    <workbookView xWindow="-108" yWindow="-108" windowWidth="30936" windowHeight="16776" tabRatio="500" activeTab="2" xr2:uid="{00000000-000D-0000-FFFF-FFFF00000000}"/>
  </bookViews>
  <sheets>
    <sheet name="Index" sheetId="1" r:id="rId1"/>
    <sheet name="ANA" sheetId="2" r:id="rId2"/>
    <sheet name="CAP" sheetId="3" r:id="rId3"/>
    <sheet name="CNT" sheetId="4" r:id="rId4"/>
    <sheet name="CPD" sheetId="5" r:id="rId5"/>
    <sheet name="DIO" sheetId="6" r:id="rId6"/>
    <sheet name="FAB" sheetId="7" r:id="rId7"/>
    <sheet name="ICS" sheetId="8" r:id="rId8"/>
    <sheet name="IND" sheetId="9" r:id="rId9"/>
    <sheet name="MCU" sheetId="10" r:id="rId10"/>
    <sheet name="MEC" sheetId="11" r:id="rId11"/>
    <sheet name="MRK" sheetId="12" r:id="rId12"/>
    <sheet name="OPT" sheetId="13" r:id="rId13"/>
    <sheet name="OSC" sheetId="14" r:id="rId14"/>
    <sheet name="REG" sheetId="15" r:id="rId15"/>
    <sheet name="RES" sheetId="16" r:id="rId16"/>
    <sheet name="RFM" sheetId="17" r:id="rId17"/>
    <sheet name="RLY" sheetId="18" r:id="rId18"/>
    <sheet name="SEN" sheetId="19" r:id="rId19"/>
    <sheet name="SOC" sheetId="20" r:id="rId20"/>
    <sheet name="SWI" sheetId="21" r:id="rId21"/>
    <sheet name="TRN" sheetId="22" r:id="rId22"/>
    <sheet name="_enum" sheetId="23" r:id="rId23"/>
  </sheets>
  <definedNames>
    <definedName name="_xlnm._FilterDatabase" localSheetId="0" hidden="1">Index!$A$1:$E$22</definedName>
    <definedName name="_xlnm._FilterDatabase" localSheetId="20" hidden="1">SWI!$A$1:$Z$4</definedName>
    <definedName name="_xlnm._FilterDatabase" localSheetId="21" hidden="1">TRN!$A$1:$Z$8</definedName>
    <definedName name="enum_ana_techno">OFFSET(_enum!$A$3,0,0,COUNTA(_enum!$A:$A)-2,1)</definedName>
    <definedName name="enum_cap_dielectric">OFFSET(_enum!$D$3,0,0,COUNTA(_enum!$D:$D)-2,1)</definedName>
    <definedName name="enum_cap_techno">OFFSET(_enum!$G$3,0,0,COUNTA(_enum!$G:$G)-2,1)</definedName>
    <definedName name="enum_dio_techno">OFFSET(_enum!$J$3,0,0,COUNTA(_enum!$J:$J)-2,1)</definedName>
    <definedName name="enum_ics_techno">OFFSET(_enum!$M$3,0,0,COUNTA(_enum!$M:$M)-2,1)</definedName>
    <definedName name="enum_ind_techno">OFFSET(_enum!$P$3,0,0,COUNTA(_enum!$P:$P)-2,1)</definedName>
    <definedName name="enum_lcsc_type">OFFSET(_enum!$AN$3,0,0,COUNTA(_enum!$AN:$AN)-2,1)</definedName>
    <definedName name="enum_mfn">OFFSET(_enum!$S$3,0,0,COUNTA(_enum!$S:$S)-2,1)</definedName>
    <definedName name="enum_mount_type">OFFSET(_enum!$V$3,0,0,COUNTA(_enum!$V:$V)-2,1)</definedName>
    <definedName name="enum_package">OFFSET(_enum!$Y$3,0,0,COUNTA(_enum!$Y:$Y)-2,1)</definedName>
    <definedName name="enum_reg_techno">OFFSET(_enum!$AB$3,0,0,COUNTA(_enum!$AB:$AB)-2,1)</definedName>
    <definedName name="enum_res_techno">OFFSET(_enum!$AE$3,0,0,COUNTA(_enum!$AE:$AE)-2,1)</definedName>
    <definedName name="enum_status">OFFSET(_enum!$AH$3,0,0,COUNTA(_enum!$AH:$AH)-2,1)</definedName>
    <definedName name="enum_trn_techno">OFFSET(_enum!$AK$3,0,0,COUNTA(_enum!$AK:$AK)-2,1)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7" i="3" l="1"/>
  <c r="C26" i="3"/>
  <c r="C25" i="3"/>
  <c r="E24" i="3" a="1"/>
  <c r="E24" i="3" s="1"/>
  <c r="C24" i="3"/>
  <c r="B24" i="3"/>
  <c r="E23" i="3" a="1"/>
  <c r="E23" i="3" s="1"/>
  <c r="C23" i="3"/>
  <c r="B23" i="3" s="1"/>
  <c r="E22" i="3" a="1"/>
  <c r="E22" i="3" s="1"/>
  <c r="C22" i="3"/>
  <c r="B22" i="3" s="1"/>
  <c r="E21" i="3" a="1"/>
  <c r="E21" i="3"/>
  <c r="C21" i="3"/>
  <c r="B21" i="3" s="1"/>
  <c r="E20" i="3" a="1"/>
  <c r="E20" i="3" s="1"/>
  <c r="C20" i="3"/>
  <c r="B20" i="3"/>
  <c r="E19" i="3" a="1"/>
  <c r="E19" i="3" s="1"/>
  <c r="C19" i="3"/>
  <c r="B19" i="3" s="1"/>
  <c r="E18" i="3" a="1"/>
  <c r="E18" i="3" s="1"/>
  <c r="C18" i="3"/>
  <c r="B18" i="3"/>
  <c r="E17" i="3" a="1"/>
  <c r="E17" i="3"/>
  <c r="C17" i="3"/>
  <c r="B17" i="3" s="1"/>
  <c r="E16" i="3" a="1"/>
  <c r="E16" i="3" s="1"/>
  <c r="C16" i="3"/>
  <c r="B16" i="3"/>
  <c r="E15" i="3" a="1"/>
  <c r="E15" i="3" s="1"/>
  <c r="C15" i="3"/>
  <c r="B15" i="3" s="1"/>
  <c r="E14" i="3" a="1"/>
  <c r="E14" i="3" s="1"/>
  <c r="C14" i="3"/>
  <c r="B14" i="3"/>
  <c r="E13" i="3" a="1"/>
  <c r="E13" i="3"/>
  <c r="C13" i="3"/>
  <c r="B13" i="3" s="1"/>
  <c r="E12" i="3" a="1"/>
  <c r="E12" i="3" s="1"/>
  <c r="C12" i="3"/>
  <c r="B12" i="3"/>
  <c r="E11" i="3" a="1"/>
  <c r="E11" i="3" s="1"/>
  <c r="C11" i="3"/>
  <c r="B11" i="3" s="1"/>
  <c r="E10" i="3" a="1"/>
  <c r="E10" i="3" s="1"/>
  <c r="C10" i="3"/>
  <c r="B10" i="3"/>
  <c r="E9" i="3" a="1"/>
  <c r="E9" i="3"/>
  <c r="C9" i="3"/>
  <c r="B9" i="3" s="1"/>
  <c r="E8" i="3" a="1"/>
  <c r="E8" i="3" s="1"/>
  <c r="C8" i="3"/>
  <c r="B8" i="3"/>
  <c r="E7" i="3" a="1"/>
  <c r="E7" i="3" s="1"/>
  <c r="C7" i="3"/>
  <c r="B7" i="3" s="1"/>
  <c r="E6" i="3" a="1"/>
  <c r="E6" i="3" s="1"/>
  <c r="C6" i="3"/>
  <c r="B6" i="3"/>
  <c r="E5" i="3" a="1"/>
  <c r="E5" i="3"/>
  <c r="C5" i="3"/>
  <c r="B5" i="3" s="1"/>
  <c r="E4" i="3" a="1"/>
  <c r="E4" i="3" s="1"/>
  <c r="C4" i="3"/>
  <c r="B4" i="3"/>
  <c r="E3" i="3" a="1"/>
  <c r="E3" i="3" s="1"/>
  <c r="C3" i="3"/>
  <c r="B3" i="3" s="1"/>
  <c r="E2" i="3" a="1"/>
  <c r="E2" i="3" s="1"/>
  <c r="C2" i="3"/>
  <c r="B2" i="3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2" i="2"/>
  <c r="E19" i="1"/>
  <c r="E3" i="1"/>
  <c r="E17" i="1"/>
  <c r="E15" i="1"/>
  <c r="E10" i="1"/>
  <c r="E20" i="1"/>
  <c r="E16" i="1"/>
  <c r="E4" i="1"/>
  <c r="E14" i="1"/>
  <c r="E13" i="1"/>
  <c r="E12" i="1"/>
  <c r="E11" i="1"/>
  <c r="E2" i="1"/>
  <c r="E9" i="1"/>
  <c r="E8" i="1"/>
  <c r="E7" i="1"/>
  <c r="E22" i="1"/>
  <c r="E6" i="1"/>
  <c r="E5" i="1"/>
  <c r="E21" i="1"/>
  <c r="E18" i="1"/>
</calcChain>
</file>

<file path=xl/sharedStrings.xml><?xml version="1.0" encoding="utf-8"?>
<sst xmlns="http://schemas.openxmlformats.org/spreadsheetml/2006/main" count="3032" uniqueCount="1157">
  <si>
    <t>Code</t>
  </si>
  <si>
    <t>Sheet</t>
  </si>
  <si>
    <t>Database Table (sqlite)</t>
  </si>
  <si>
    <t>Description</t>
  </si>
  <si>
    <t>Row Count</t>
  </si>
  <si>
    <t>LEGEND</t>
  </si>
  <si>
    <t>ANA</t>
  </si>
  <si>
    <t>Analog</t>
  </si>
  <si>
    <t>Op-amps, Comparators, A/D, D/A</t>
  </si>
  <si>
    <t>FORMULA</t>
  </si>
  <si>
    <t>CAP</t>
  </si>
  <si>
    <t>Capacitor</t>
  </si>
  <si>
    <t>Capacitors</t>
  </si>
  <si>
    <t>CNT</t>
  </si>
  <si>
    <t>Connector</t>
  </si>
  <si>
    <t>Connectors</t>
  </si>
  <si>
    <t>CPD</t>
  </si>
  <si>
    <t>Protection</t>
  </si>
  <si>
    <t>Circuit Protection Devices (MOV, Varistor, Fuse, etc)</t>
  </si>
  <si>
    <t>DIO</t>
  </si>
  <si>
    <t>Diode</t>
  </si>
  <si>
    <t>Diodes (Zener, TVS, LED, Schottky, Standard)</t>
  </si>
  <si>
    <t>FAB</t>
  </si>
  <si>
    <t>Fabrication</t>
  </si>
  <si>
    <t>Fabrication specific elements (Fiducial, Tooling Holes, Mouse Bites)</t>
  </si>
  <si>
    <t>ICS</t>
  </si>
  <si>
    <t>IntegratedCircuit</t>
  </si>
  <si>
    <t>General Integrated Circuits</t>
  </si>
  <si>
    <t>IND</t>
  </si>
  <si>
    <t>Magnetics</t>
  </si>
  <si>
    <t>Inductors, Transformers, Chokes, Magnetics</t>
  </si>
  <si>
    <t>MCU</t>
  </si>
  <si>
    <t>Microcontroller</t>
  </si>
  <si>
    <t>Microcontrollers, Modules, etc.</t>
  </si>
  <si>
    <t>MEC</t>
  </si>
  <si>
    <t>Mechanical</t>
  </si>
  <si>
    <t>Mechanical components (Mounting holes, etc)</t>
  </si>
  <si>
    <t>MRK</t>
  </si>
  <si>
    <t>Marking</t>
  </si>
  <si>
    <t>Symbols, Logos and Graphics... ie Non-BOM</t>
  </si>
  <si>
    <t>OPT</t>
  </si>
  <si>
    <t>Optoelectronics</t>
  </si>
  <si>
    <t>Optocouplers, phototransistor, SSR etc.</t>
  </si>
  <si>
    <t>OSC</t>
  </si>
  <si>
    <t>Oscillator</t>
  </si>
  <si>
    <t>Oscillators, Crystals</t>
  </si>
  <si>
    <t>REG</t>
  </si>
  <si>
    <t>Regulator</t>
  </si>
  <si>
    <t>Regulators (LDO, Buck, Boost, Flyback, etc)</t>
  </si>
  <si>
    <t>RES</t>
  </si>
  <si>
    <t>Resistor</t>
  </si>
  <si>
    <t>Resistors</t>
  </si>
  <si>
    <t>RFM</t>
  </si>
  <si>
    <t>Radio</t>
  </si>
  <si>
    <t>RF Modules, ICs, and Related components</t>
  </si>
  <si>
    <t>RLY</t>
  </si>
  <si>
    <t>Relay</t>
  </si>
  <si>
    <t>Relays, SSR, etc</t>
  </si>
  <si>
    <t>SEN</t>
  </si>
  <si>
    <t>Sensor</t>
  </si>
  <si>
    <t>Environmental Sensors</t>
  </si>
  <si>
    <t>SOC</t>
  </si>
  <si>
    <t>SystemOnChip</t>
  </si>
  <si>
    <t>SOC, SOM, SBC, MPU etc.</t>
  </si>
  <si>
    <t>SWI</t>
  </si>
  <si>
    <t>Switch</t>
  </si>
  <si>
    <t>All Types of Mechanical Switch</t>
  </si>
  <si>
    <t>TRN</t>
  </si>
  <si>
    <t>Transistor</t>
  </si>
  <si>
    <t>BJT, FET, IGBT</t>
  </si>
  <si>
    <t>IPN</t>
  </si>
  <si>
    <t>FLAG - Has Basic Part</t>
  </si>
  <si>
    <t>Value</t>
  </si>
  <si>
    <t>Case/Package Size</t>
  </si>
  <si>
    <t>Type</t>
  </si>
  <si>
    <t>Symbols</t>
  </si>
  <si>
    <t>Footprints</t>
  </si>
  <si>
    <t>Datasheet</t>
  </si>
  <si>
    <t>MFN_1</t>
  </si>
  <si>
    <t>MPN_1</t>
  </si>
  <si>
    <t>LCSC_1</t>
  </si>
  <si>
    <t>LCSC_TYPE_1</t>
  </si>
  <si>
    <t>Status_1</t>
  </si>
  <si>
    <t>MFN_2</t>
  </si>
  <si>
    <t>MPN_2</t>
  </si>
  <si>
    <t>LCSC_2</t>
  </si>
  <si>
    <t>LCSC_TYPE_2</t>
  </si>
  <si>
    <t>Status_2</t>
  </si>
  <si>
    <t>MFN_3</t>
  </si>
  <si>
    <t>MPN_3</t>
  </si>
  <si>
    <t>LCSC_3</t>
  </si>
  <si>
    <t>LCSC_TYPE_3</t>
  </si>
  <si>
    <t>Status_3</t>
  </si>
  <si>
    <t>MFN_4</t>
  </si>
  <si>
    <t>MPN_4</t>
  </si>
  <si>
    <t>LCSC_4</t>
  </si>
  <si>
    <t>LCSC_TYPE_4</t>
  </si>
  <si>
    <t>Status_4</t>
  </si>
  <si>
    <t>Comment</t>
  </si>
  <si>
    <t>ANA-101-0000</t>
  </si>
  <si>
    <t>Opamp, GBWP 370kHz, RRO, 10V</t>
  </si>
  <si>
    <t>SOT23-5</t>
  </si>
  <si>
    <t>Opamp</t>
  </si>
  <si>
    <t>0-ANA:SYM-ANA-0000</t>
  </si>
  <si>
    <t>1-PACKAGES:Generic-SOT-23-5</t>
  </si>
  <si>
    <t>https://ww1.microchip.com/downloads/en/DeviceDoc/MIC7300-High-Output-Drive-Rail-to-Rail-Op-Amp-DS20006305A.pdf</t>
  </si>
  <si>
    <t>Microchip</t>
  </si>
  <si>
    <t>MIC7300YM5_</t>
  </si>
  <si>
    <t>C145391</t>
  </si>
  <si>
    <t>BASIC</t>
  </si>
  <si>
    <t>Candidate</t>
  </si>
  <si>
    <t>Capacitance [nF]</t>
  </si>
  <si>
    <t>Voltage Rating [V]</t>
  </si>
  <si>
    <t>Dielectric</t>
  </si>
  <si>
    <t>Tolerance [%]</t>
  </si>
  <si>
    <t>CAP-000-1042</t>
  </si>
  <si>
    <t>100n</t>
  </si>
  <si>
    <t>50V</t>
  </si>
  <si>
    <t>Cer</t>
  </si>
  <si>
    <t>X7R</t>
  </si>
  <si>
    <t>0603</t>
  </si>
  <si>
    <t>0-CAP:SYM-CAP-0000</t>
  </si>
  <si>
    <t>0-CAP:FTP-CAP-0001</t>
  </si>
  <si>
    <t>~</t>
  </si>
  <si>
    <t>Samsung</t>
  </si>
  <si>
    <t>CC0603KRX7R9BB104</t>
  </si>
  <si>
    <t>C14663</t>
  </si>
  <si>
    <t>Preferred</t>
  </si>
  <si>
    <t>CAP-001-1032</t>
  </si>
  <si>
    <t>10n</t>
  </si>
  <si>
    <t>0402</t>
  </si>
  <si>
    <t>0-CAP:FTP-CAP-0000</t>
  </si>
  <si>
    <t>CL05B103KB5NNNC</t>
  </si>
  <si>
    <t>C15195</t>
  </si>
  <si>
    <t>CAP-001-1042</t>
  </si>
  <si>
    <t>CL05B104KB54PNC</t>
  </si>
  <si>
    <t>C307331</t>
  </si>
  <si>
    <t>CAP-002-1003</t>
  </si>
  <si>
    <t>10p</t>
  </si>
  <si>
    <t>C0G/NP0</t>
  </si>
  <si>
    <t>CL05C100JB5NNNC</t>
  </si>
  <si>
    <t>C32949</t>
  </si>
  <si>
    <t>CAP-002-1013</t>
  </si>
  <si>
    <t>100p</t>
  </si>
  <si>
    <t>FH</t>
  </si>
  <si>
    <t>0402CG101J500NT</t>
  </si>
  <si>
    <t>C1546</t>
  </si>
  <si>
    <t>CAP-002-1203</t>
  </si>
  <si>
    <t>12p</t>
  </si>
  <si>
    <t>0402CG120J500NT</t>
  </si>
  <si>
    <t>C1547</t>
  </si>
  <si>
    <t>CAP-002-1503</t>
  </si>
  <si>
    <t>15p</t>
  </si>
  <si>
    <t>0402CG150J500NT</t>
  </si>
  <si>
    <t>C1548</t>
  </si>
  <si>
    <t>CAP-002-1803</t>
  </si>
  <si>
    <t>18p</t>
  </si>
  <si>
    <t>0402CG180J500NT</t>
  </si>
  <si>
    <t>C1549</t>
  </si>
  <si>
    <t>CAP-002-2003</t>
  </si>
  <si>
    <t>20p</t>
  </si>
  <si>
    <t>0402CG200J500NT</t>
  </si>
  <si>
    <t>C1554</t>
  </si>
  <si>
    <t>CAP-002-2203</t>
  </si>
  <si>
    <t>22p</t>
  </si>
  <si>
    <t>0402CG220J500NT</t>
  </si>
  <si>
    <t>C1555</t>
  </si>
  <si>
    <t>CAP-002-2703</t>
  </si>
  <si>
    <t>27p</t>
  </si>
  <si>
    <t>0402CG270J500NT</t>
  </si>
  <si>
    <t>C1557</t>
  </si>
  <si>
    <t>CAP-002-3303</t>
  </si>
  <si>
    <t>33p</t>
  </si>
  <si>
    <t>0402CG330J500NT</t>
  </si>
  <si>
    <t>C1562</t>
  </si>
  <si>
    <t>CAP-003-1051</t>
  </si>
  <si>
    <t>1u</t>
  </si>
  <si>
    <t>X5R</t>
  </si>
  <si>
    <t>CL10A105KB8NNNC</t>
  </si>
  <si>
    <t>C15849</t>
  </si>
  <si>
    <t>CAP-004-2261</t>
  </si>
  <si>
    <t>22u</t>
  </si>
  <si>
    <t>6.3V</t>
  </si>
  <si>
    <t>CL10A226MQ8NRNC</t>
  </si>
  <si>
    <t>C59461</t>
  </si>
  <si>
    <t>CAP-005-2251</t>
  </si>
  <si>
    <t>2.2u</t>
  </si>
  <si>
    <t>16V</t>
  </si>
  <si>
    <t>CL10A225KO8NNNC</t>
  </si>
  <si>
    <t>C23630</t>
  </si>
  <si>
    <t>CAP-005-4751</t>
  </si>
  <si>
    <t>4.7u</t>
  </si>
  <si>
    <t>CL10A475KO8NNNC</t>
  </si>
  <si>
    <t>C19666</t>
  </si>
  <si>
    <t>CAP-006-1042</t>
  </si>
  <si>
    <t>CL05B104KO5NNNC</t>
  </si>
  <si>
    <t>C1525</t>
  </si>
  <si>
    <t>CAP-006-1061</t>
  </si>
  <si>
    <t>10u</t>
  </si>
  <si>
    <t>10V</t>
  </si>
  <si>
    <t>CL10A106KP8NNNC</t>
  </si>
  <si>
    <t>C19702</t>
  </si>
  <si>
    <t>CAP-007-1061</t>
  </si>
  <si>
    <t>25V</t>
  </si>
  <si>
    <t>0805</t>
  </si>
  <si>
    <t>0-CAP:FTP-CAP-0002</t>
  </si>
  <si>
    <t>CL21A106KAYNNNE</t>
  </si>
  <si>
    <t>C15850</t>
  </si>
  <si>
    <t>CAP-008-2261</t>
  </si>
  <si>
    <t>CL21A226MAQNNNE</t>
  </si>
  <si>
    <t>C45783</t>
  </si>
  <si>
    <t>EOL</t>
  </si>
  <si>
    <t>11/17/2025 - CL21A226MAQNNNE updated to EOL.</t>
  </si>
  <si>
    <t>CAP-009-4761</t>
  </si>
  <si>
    <t>47u</t>
  </si>
  <si>
    <t>CL21A476MQYNNNE</t>
  </si>
  <si>
    <t>C16780</t>
  </si>
  <si>
    <t>CAP-010-1061</t>
  </si>
  <si>
    <t>Murata</t>
  </si>
  <si>
    <t>GRM21BR61H106KE43L</t>
  </si>
  <si>
    <t>C440198</t>
  </si>
  <si>
    <t>CAP-010-2251</t>
  </si>
  <si>
    <t>CL21A225KBQNNNE</t>
  </si>
  <si>
    <t>C377773</t>
  </si>
  <si>
    <t>CAP-999-0000</t>
  </si>
  <si>
    <t>PLACEHOLDER - 0402</t>
  </si>
  <si>
    <t>TBD</t>
  </si>
  <si>
    <t>N/A</t>
  </si>
  <si>
    <t>CAP-999-0001</t>
  </si>
  <si>
    <t>PLACEHOLDER - 0603</t>
  </si>
  <si>
    <t>CAP-999-0002</t>
  </si>
  <si>
    <t>PLACEHOLDER - 0805</t>
  </si>
  <si>
    <t>CNT-112-0000</t>
  </si>
  <si>
    <t>1x02 Pin, Male Socket, Horz, 5.08mm</t>
  </si>
  <si>
    <t>CNT1120000</t>
  </si>
  <si>
    <t>0-CNT:SYM-CNT-0012</t>
  </si>
  <si>
    <t>0-CNT:FTP-CNT-0000</t>
  </si>
  <si>
    <t>https://www.phoenixcontact.com/en-us/products/pcb-header-mstba-25-hc-2-g-508-1923869?type=pdf</t>
  </si>
  <si>
    <t>Phoenix Contact</t>
  </si>
  <si>
    <t>1923869</t>
  </si>
  <si>
    <t>C5443585, EXT</t>
  </si>
  <si>
    <t>CNT-113-0000</t>
  </si>
  <si>
    <t>1x03 Pin, Male Socket, Horz, 5.08mm</t>
  </si>
  <si>
    <t>CNT1130000</t>
  </si>
  <si>
    <t>0-CNT:SYM-CNT-0011</t>
  </si>
  <si>
    <t>0-CNT:FTP-CNT-0001</t>
  </si>
  <si>
    <t>https://www.phoenixcontact.com/en-ca/products/pcb-header-mstba-25-hc-3-g-508-1923872</t>
  </si>
  <si>
    <t>1923872</t>
  </si>
  <si>
    <t>C5484355, EXT</t>
  </si>
  <si>
    <t>CNT-114-0000</t>
  </si>
  <si>
    <t>1x04 Pin, Male Socket, Horz, 5.08mm</t>
  </si>
  <si>
    <t>CNT1140000</t>
  </si>
  <si>
    <t>0-CNT:SYM-CNT-0010</t>
  </si>
  <si>
    <t>0-CNT:FTP-CNT-0002</t>
  </si>
  <si>
    <t>https://www.phoenixcontact.com/en-pc/products/pcb-header-mstba-25-hc-4-g-508-1923885</t>
  </si>
  <si>
    <t>1923885</t>
  </si>
  <si>
    <t>C6983854, EXT</t>
  </si>
  <si>
    <t>CNT-122-0000</t>
  </si>
  <si>
    <t>1x02 Pin, Male Header, Vert, 2.54mm</t>
  </si>
  <si>
    <t>CNT1220000</t>
  </si>
  <si>
    <t>0-CNT:SYM-CNT-0001</t>
  </si>
  <si>
    <t>0-CNT:FTP-CNT-0007</t>
  </si>
  <si>
    <t>Molex</t>
  </si>
  <si>
    <t>22284020</t>
  </si>
  <si>
    <t>C234182, EXT</t>
  </si>
  <si>
    <t>Alternate</t>
  </si>
  <si>
    <t>CNT-123-0000</t>
  </si>
  <si>
    <t>1x03 Pin, Male Header, Vert, 2.54mm</t>
  </si>
  <si>
    <t>CNT1230000</t>
  </si>
  <si>
    <t>0-CNT:SYM-CNT-0002</t>
  </si>
  <si>
    <t>0-CNT:FTP-CNT-0008</t>
  </si>
  <si>
    <t>22284030</t>
  </si>
  <si>
    <t>C587036, EXT</t>
  </si>
  <si>
    <t>CNT-125-0000</t>
  </si>
  <si>
    <t>1x05 Pin, Male Header, Vert, 2.54mm</t>
  </si>
  <si>
    <t>CNT1250000</t>
  </si>
  <si>
    <t>0-CNT:SYM-CNT-0003</t>
  </si>
  <si>
    <t>0-CNT:FTP-CNT-0010</t>
  </si>
  <si>
    <t>22284050</t>
  </si>
  <si>
    <t>C563741, EXT</t>
  </si>
  <si>
    <t>CNT-141-0000</t>
  </si>
  <si>
    <t>1 Pin, Drill 1mm, No Component Object</t>
  </si>
  <si>
    <t>CNT1410000</t>
  </si>
  <si>
    <t>0-CNT:SYM-CNT-0013</t>
  </si>
  <si>
    <t>0-CNT:FTP-CNT-0012</t>
  </si>
  <si>
    <t>n/a</t>
  </si>
  <si>
    <t>Auto-Gen Description</t>
  </si>
  <si>
    <t>Vfd @10mA [V]</t>
  </si>
  <si>
    <t>DC Current [A]</t>
  </si>
  <si>
    <t>Reverse Voltage [V]</t>
  </si>
  <si>
    <t>Power Dissipation [W]</t>
  </si>
  <si>
    <t>Other...</t>
  </si>
  <si>
    <t>DIO-021-0000</t>
  </si>
  <si>
    <t>DIO Standard 100VR SOT23-3 - BASIC</t>
  </si>
  <si>
    <t>DIO0210000</t>
  </si>
  <si>
    <t>SOT23-3</t>
  </si>
  <si>
    <t>Standard</t>
  </si>
  <si>
    <t>0-DIO:SYM-DIO-0005</t>
  </si>
  <si>
    <t>1-PACKAGES:Generic-SOT-23-3</t>
  </si>
  <si>
    <t>Nexperia</t>
  </si>
  <si>
    <t>BAV99,215</t>
  </si>
  <si>
    <t>C2500, BASIC</t>
  </si>
  <si>
    <t>DIO-021-0001</t>
  </si>
  <si>
    <t>DIO Standard 100.0VR SOD-323 - BASIC</t>
  </si>
  <si>
    <t>DIO0210001</t>
  </si>
  <si>
    <t>SOD-323</t>
  </si>
  <si>
    <t>0-DIO:SYM-DIO-0004</t>
  </si>
  <si>
    <t>0-DIO:FTP-DIO-0003</t>
  </si>
  <si>
    <t>JCST</t>
  </si>
  <si>
    <t>1N4148WS</t>
  </si>
  <si>
    <t>C2128, BASIC</t>
  </si>
  <si>
    <t>DIO-099-9999</t>
  </si>
  <si>
    <t>DIO0999999</t>
  </si>
  <si>
    <t>Banned</t>
  </si>
  <si>
    <t>DIO-311-0000</t>
  </si>
  <si>
    <t>DIO TVS 3.3VRWM SOD-523</t>
  </si>
  <si>
    <t>DIO3110000</t>
  </si>
  <si>
    <t>SOD-523</t>
  </si>
  <si>
    <t>TVS</t>
  </si>
  <si>
    <t xml:space="preserve">Vrwm=3.3V, Vbr=7.0V, Vhold=1.15V, Ihold=20mA, IPP=5A@8/20us, IEC61000-4-2 15kV (air &amp; contact) </t>
  </si>
  <si>
    <t>0-DIO:SYM-DIO-0001</t>
  </si>
  <si>
    <t>0-DIO:FTP-DIO-0002</t>
  </si>
  <si>
    <t>Onsemi</t>
  </si>
  <si>
    <t>ESD8351XV2T_G</t>
  </si>
  <si>
    <t>C233437, EXT</t>
  </si>
  <si>
    <t>07/12/2025: Beware risk of latchup due to crowbar response.</t>
  </si>
  <si>
    <t>DIO-321-0000</t>
  </si>
  <si>
    <t>DIO TVS 5.0VRWM SOD-123W</t>
  </si>
  <si>
    <t>DIO3210000</t>
  </si>
  <si>
    <t>200PP</t>
  </si>
  <si>
    <t>SOD-123W</t>
  </si>
  <si>
    <t>Vrwm=5.0V, Vbr=7.0V, IR=800uA</t>
  </si>
  <si>
    <t>0-DIO:FTP-DIO-0004</t>
  </si>
  <si>
    <t>PTVS5V0S1UR,115</t>
  </si>
  <si>
    <t>C478011, EXT</t>
  </si>
  <si>
    <t>Taiwan Semiconductor</t>
  </si>
  <si>
    <t>SMF5.0A</t>
  </si>
  <si>
    <t>DIO-321-0001</t>
  </si>
  <si>
    <t>DIO TVS 5.0VR SOD-323</t>
  </si>
  <si>
    <t>DIO3210001</t>
  </si>
  <si>
    <t>350PP</t>
  </si>
  <si>
    <t>Vrwm=5.0V, Vbr=xxV, IR=10uA</t>
  </si>
  <si>
    <t>Bourns</t>
  </si>
  <si>
    <t>CDSOD323-T05S</t>
  </si>
  <si>
    <t>C3699212, EXT</t>
  </si>
  <si>
    <t>SD05T3G</t>
  </si>
  <si>
    <t>C896890</t>
  </si>
  <si>
    <t>DIO-361-0000</t>
  </si>
  <si>
    <t>DIO BI-TVS 26.0VR DO-214AC</t>
  </si>
  <si>
    <t>DIO3610000</t>
  </si>
  <si>
    <t>400PP</t>
  </si>
  <si>
    <t>DO-214AC</t>
  </si>
  <si>
    <t>Bidirectional, Vrwm=28V, Vbr=28.9V @32mA, Vhold=1.15V, IPP=9.5A, 42.1V @8/20us</t>
  </si>
  <si>
    <t>0-DIO:SYM-DIO-0002</t>
  </si>
  <si>
    <t>0-DIO:FTP-DIO-0005</t>
  </si>
  <si>
    <t>https://www.littelfuse.com/assetdocs/tvs-diodes-smaj-datasheet?assetguid=13c2a823-03b8-4d1f-9ddc-9b44670aed9d</t>
  </si>
  <si>
    <t>Littlefuse</t>
  </si>
  <si>
    <t>SMAJ26CA*</t>
  </si>
  <si>
    <t>C148228, EXT</t>
  </si>
  <si>
    <t>DIO-401-0000</t>
  </si>
  <si>
    <t>DIO LED 5.0VR 0603 WHT - BASIC</t>
  </si>
  <si>
    <t>WHT</t>
  </si>
  <si>
    <t>LED</t>
  </si>
  <si>
    <t>Color=WHT</t>
  </si>
  <si>
    <t>0-DIO:SYM-DIO-0000</t>
  </si>
  <si>
    <t>0-DIO:FTP-DIO-0000</t>
  </si>
  <si>
    <t>Hubei</t>
  </si>
  <si>
    <t>KT-0603W</t>
  </si>
  <si>
    <t>C2290, BASIC</t>
  </si>
  <si>
    <t>DIO-401-0001</t>
  </si>
  <si>
    <t>DIO LED 5.0VR 0805 WHT - BASIC</t>
  </si>
  <si>
    <t>0-DIO:FTP-DIO-0001</t>
  </si>
  <si>
    <t>KT-0805W</t>
  </si>
  <si>
    <t>C34499, BASIC</t>
  </si>
  <si>
    <t>DIO-411-0000</t>
  </si>
  <si>
    <t>DIO LED 5.0VR 0603 RED - BASIC</t>
  </si>
  <si>
    <t>RED</t>
  </si>
  <si>
    <t>λ=620nm, Color=RED</t>
  </si>
  <si>
    <t>KT-0603R</t>
  </si>
  <si>
    <t>C2286, BASIC</t>
  </si>
  <si>
    <t>DIO-421-0001</t>
  </si>
  <si>
    <t>DIO LED 5.0VR 0805 GRN - BASIC</t>
  </si>
  <si>
    <t>GRN</t>
  </si>
  <si>
    <t>λ=520nm, Color=GRN</t>
  </si>
  <si>
    <t>KT-0805G</t>
  </si>
  <si>
    <t>C2297, BASIC</t>
  </si>
  <si>
    <t>DIO-431-0000</t>
  </si>
  <si>
    <t>DIO LED 5.0VR 0603 BLU</t>
  </si>
  <si>
    <t>BLU</t>
  </si>
  <si>
    <t>λ=470nm, Color=BLU</t>
  </si>
  <si>
    <t>KT-0603B</t>
  </si>
  <si>
    <t>C2288, EXT</t>
  </si>
  <si>
    <t>DIO-441-0000</t>
  </si>
  <si>
    <t>DIO LED 5.0VR 0603 YLW</t>
  </si>
  <si>
    <t>YLW</t>
  </si>
  <si>
    <t>λ=590nm, Color=YLW</t>
  </si>
  <si>
    <t>KT-0603Y</t>
  </si>
  <si>
    <t>C2287, EXT</t>
  </si>
  <si>
    <t>DIO-441-0001</t>
  </si>
  <si>
    <t>DIO LED 5.0VR 0805 YLW - BASIC</t>
  </si>
  <si>
    <t>KT-0805Y</t>
  </si>
  <si>
    <t>C2296, BASIC</t>
  </si>
  <si>
    <t>FAB-000-0000</t>
  </si>
  <si>
    <t>SMD Solder Jumper, 0.5x1.7mm, 0.2mm gap, Open</t>
  </si>
  <si>
    <t>FAB0000000</t>
  </si>
  <si>
    <t>0-FAB:SYM-FAB-0000</t>
  </si>
  <si>
    <t>0-FAB:FTP-FAB-0000</t>
  </si>
  <si>
    <t>FAB-100-0000</t>
  </si>
  <si>
    <t>Fiducial. 1mm CU, 2mm SM, JLC</t>
  </si>
  <si>
    <t>FAB0030000</t>
  </si>
  <si>
    <t>0-FAB:SYM-FAB-0005</t>
  </si>
  <si>
    <t>0-FAB:FTP-FAB-0005</t>
  </si>
  <si>
    <t>FAB-200-0000</t>
  </si>
  <si>
    <t>Tooling Hole, 1.152mm NPTH, JLCPCB</t>
  </si>
  <si>
    <t>FAB0020000</t>
  </si>
  <si>
    <t>0-FAB:SYM-FAB-0004</t>
  </si>
  <si>
    <t>0-FAB:FTP-FAB-0004</t>
  </si>
  <si>
    <t>FAB-400-0000</t>
  </si>
  <si>
    <t>Oscilloscope Probe, Test Point, w/ Ground, 5mm</t>
  </si>
  <si>
    <t>FAB4000000</t>
  </si>
  <si>
    <t>0-FAB:SYM-FAB-0001</t>
  </si>
  <si>
    <t>0-FAB:FTP-FAB-0001</t>
  </si>
  <si>
    <t>FAB-400-0001</t>
  </si>
  <si>
    <t>Oscilloscope Probe, Test Point, w/ Ground, 3mm</t>
  </si>
  <si>
    <t>FAB4000001</t>
  </si>
  <si>
    <t>0-FAB:FTP-FAB-0002</t>
  </si>
  <si>
    <t>FAB-400-0002</t>
  </si>
  <si>
    <t>Probe, Test Point, Keystone 5001 - Black</t>
  </si>
  <si>
    <t>FAB4000002</t>
  </si>
  <si>
    <t>0-FAB:SYM-FAB-0003</t>
  </si>
  <si>
    <t>0-FAB:FTP-FAB-0003a</t>
  </si>
  <si>
    <t>Ronghe</t>
  </si>
  <si>
    <t>RH-5001</t>
  </si>
  <si>
    <t>C5199801, EXT</t>
  </si>
  <si>
    <t>Keystone</t>
  </si>
  <si>
    <t>5001</t>
  </si>
  <si>
    <t>C238122, EXT</t>
  </si>
  <si>
    <t>FAB-400-0003</t>
  </si>
  <si>
    <t>Probe, Test Point, Keystone 5000 - Red</t>
  </si>
  <si>
    <t>FAB4000003</t>
  </si>
  <si>
    <t>0-FAB:FTP-FAB-0003b</t>
  </si>
  <si>
    <t>RH-5000</t>
  </si>
  <si>
    <t>C5277086, EXT</t>
  </si>
  <si>
    <t>5000</t>
  </si>
  <si>
    <t>ICS-000-0000</t>
  </si>
  <si>
    <t>Quad Tri-State Buffer, 2.5ns RT, TSSOP-14</t>
  </si>
  <si>
    <t>ICS0000000</t>
  </si>
  <si>
    <t>TSSOP-14 (4.40mm)</t>
  </si>
  <si>
    <t>Tri-State Buffer</t>
  </si>
  <si>
    <t>0-ICS:SYM-ICS-0000</t>
  </si>
  <si>
    <t>1-PACKAGES:Generic-TSSOP-14_4.4x5mm_P0.65mm</t>
  </si>
  <si>
    <t>https://assets.nexperia.com/documents/data-sheet/74LVC125A.pdf</t>
  </si>
  <si>
    <t>74LVC125APW,118</t>
  </si>
  <si>
    <t>C6059, EXT</t>
  </si>
  <si>
    <t>ICS-000-0001</t>
  </si>
  <si>
    <t>Single Tri-State Buffer, 3ns RT, TSSOP-5</t>
  </si>
  <si>
    <t>ICS0000001</t>
  </si>
  <si>
    <t>SOT-353</t>
  </si>
  <si>
    <t>0-ICS:SYM-ICS-0001</t>
  </si>
  <si>
    <t>1-PACKAGES:Generic-SOT-353_SC-70-5</t>
  </si>
  <si>
    <t>https://assets.nexperia.com/documents/data-sheet/74LVC1G125.pdf</t>
  </si>
  <si>
    <t>74LVC1G125GW,125</t>
  </si>
  <si>
    <t>C12519, EXT</t>
  </si>
  <si>
    <t>ICS-001-0000</t>
  </si>
  <si>
    <t>Quad Nand Gate, 2 Input, 2.5ns RT, SOIC-14</t>
  </si>
  <si>
    <t>ICS0010000</t>
  </si>
  <si>
    <t>SOIC-14 (3.90mm)</t>
  </si>
  <si>
    <t>Logic, NAND</t>
  </si>
  <si>
    <t>0-ICS:SYM-ICS-0002</t>
  </si>
  <si>
    <t>1-PACKAGES:Generic-SOIC-14_3.9x8.7mm_P1.27mm</t>
  </si>
  <si>
    <t>https://assets.nexperia.com/documents/data-sheet/74ALVC00.pdf</t>
  </si>
  <si>
    <t>74ALVC00D,118</t>
  </si>
  <si>
    <t>ICS-002-0000</t>
  </si>
  <si>
    <t>Logic Level Translator</t>
  </si>
  <si>
    <t>ICS0020000</t>
  </si>
  <si>
    <t>TSSOP-24 (4.40mm)</t>
  </si>
  <si>
    <t>0-ICS:SYM-ICS-0003</t>
  </si>
  <si>
    <t>1-PACKAGES:Generic-TSSOP-24_4.4x7.8mm_P0.65mm.kicad_mod</t>
  </si>
  <si>
    <t>https://assets.nexperia.com/documents/data-sheet/74LVC4245A.pdf</t>
  </si>
  <si>
    <t>74LVC4245APW,118</t>
  </si>
  <si>
    <t>C6091, EXT</t>
  </si>
  <si>
    <t>Imax [A]</t>
  </si>
  <si>
    <t>DCR [mΩ]</t>
  </si>
  <si>
    <t>IND-000-2204</t>
  </si>
  <si>
    <t>Ind, Power 22uH 0.76A 350mΩ 4.0x4.0</t>
  </si>
  <si>
    <t>4.0x4.0</t>
  </si>
  <si>
    <t>Ind, Power</t>
  </si>
  <si>
    <t>0-IND:SYM-IND-0001</t>
  </si>
  <si>
    <t>0-IND:FTP-IND-0000</t>
  </si>
  <si>
    <t>https://mm.digikey.com/Volume0/opasdata/d220001/medias/docus/610/NRS4018T220MDGJ_SS.pdf</t>
  </si>
  <si>
    <t>Taiyo Yuden</t>
  </si>
  <si>
    <t>NRS4018T220MDGJ</t>
  </si>
  <si>
    <t>C222884, EXT</t>
  </si>
  <si>
    <t>Pulse Electronics</t>
  </si>
  <si>
    <t xml:space="preserve">BWVS00404018220M00
</t>
  </si>
  <si>
    <t>IND-001-4703</t>
  </si>
  <si>
    <t>Ind, Power 4.7uH 1.2A 160mΩ 3.0x3.0</t>
  </si>
  <si>
    <t>3.0x3.0</t>
  </si>
  <si>
    <t>0-IND:FTP-IND-0001</t>
  </si>
  <si>
    <t>https://mm.digikey.com/Volume0/opasdata/d220001/medias/docus/610/NRH3012T4R7MN_SS.pdf</t>
  </si>
  <si>
    <t>NRH3012T4R7MN</t>
  </si>
  <si>
    <t>C92955, EXT</t>
  </si>
  <si>
    <t>TDK</t>
  </si>
  <si>
    <t>VLS3012CX-4R7M-1</t>
  </si>
  <si>
    <t>C2047716, EXT</t>
  </si>
  <si>
    <t>MCU-000-0000</t>
  </si>
  <si>
    <t>ATTINY1616 - 20MHz, 16kB Flash, 2kB SRAM, 256B EEPROM, VQFN-20</t>
  </si>
  <si>
    <t>ATTINY1616-MN_</t>
  </si>
  <si>
    <t>VQFN-24</t>
  </si>
  <si>
    <t>0-MCU:SYM-MCU-0000</t>
  </si>
  <si>
    <t>1-PACKAGES:Generic-VQFN-20-1EP_3x3mm_P0.4mm_EP1.7x1.7mm</t>
  </si>
  <si>
    <t>https://ww1.microchip.com/downloads/en/DeviceDoc/ATtiny1614-16-17-DataSheet-DS40002204A.pdf</t>
  </si>
  <si>
    <t>ATtiny1617-MN_</t>
  </si>
  <si>
    <t>C507118, EXT</t>
  </si>
  <si>
    <t>MRK-000-0000</t>
  </si>
  <si>
    <t>Shamrock Circuits Logo - Medium</t>
  </si>
  <si>
    <t>0-MRK:SYM-MRK-0000</t>
  </si>
  <si>
    <t>0-MRK:FTP-MRK-0000</t>
  </si>
  <si>
    <t>MRK-000-0001</t>
  </si>
  <si>
    <t>Shamrock Circuits Logo - Small</t>
  </si>
  <si>
    <t>0-MRK:FTP-MRK-0001</t>
  </si>
  <si>
    <t>MRK-001-0000</t>
  </si>
  <si>
    <t>JLCJLCJLC</t>
  </si>
  <si>
    <t>0-MRK:SYM-MRK-0002</t>
  </si>
  <si>
    <t>0-MRK:FTP-MRK-0003</t>
  </si>
  <si>
    <t>MRK-002-0000</t>
  </si>
  <si>
    <t>Serial Number - Small</t>
  </si>
  <si>
    <t>0-MRK:SYM-MRK-0001</t>
  </si>
  <si>
    <t>0-MRK:FTP-MRK-0002b</t>
  </si>
  <si>
    <t>MRK-002-0001</t>
  </si>
  <si>
    <t>Serial Number - Medium</t>
  </si>
  <si>
    <t>0-MRK:FTP-MRK-0002a</t>
  </si>
  <si>
    <t>MRK-003-0000</t>
  </si>
  <si>
    <t>Quality Check - Small</t>
  </si>
  <si>
    <t>0-MRK:SYM-MRK-0003</t>
  </si>
  <si>
    <t>0-MRK:FTP-MRK-0004a</t>
  </si>
  <si>
    <t>MRK-003-0001</t>
  </si>
  <si>
    <t>Quality Check - Medium</t>
  </si>
  <si>
    <t>0-MRK:FTP-MRK-0004b</t>
  </si>
  <si>
    <t>REG-121-0000</t>
  </si>
  <si>
    <t>Boost type Adjustable 3.3V~28V 1.8V~5.5V SOT-23-6 DC-DC</t>
  </si>
  <si>
    <t>REG1210000</t>
  </si>
  <si>
    <t>BOOST</t>
  </si>
  <si>
    <t>SOT23-6</t>
  </si>
  <si>
    <t>0-REG:SYM-REG-0000</t>
  </si>
  <si>
    <t>1-PACKAGES:Generic-SOT23-6</t>
  </si>
  <si>
    <t>https://www.ti.com/lit/ds/symlink/tlv61046a.pdf?ts=1752317963415&amp;ref_url=https%253A%252F%252Fwww.ti.com%252Fproduct%252FTLV61046A</t>
  </si>
  <si>
    <t>Texas Instruments</t>
  </si>
  <si>
    <t>TLV61046ADBV*</t>
  </si>
  <si>
    <t>C464815, BASIC</t>
  </si>
  <si>
    <t>Analog Devices</t>
  </si>
  <si>
    <t>LT3461</t>
  </si>
  <si>
    <t>???</t>
  </si>
  <si>
    <t>LTC3400</t>
  </si>
  <si>
    <t>REG-991-0000</t>
  </si>
  <si>
    <t>Boost Converter with Battery Management for Energy Harvester (Solar)</t>
  </si>
  <si>
    <t>BQ25504RG</t>
  </si>
  <si>
    <t>ENERGY HARVEST</t>
  </si>
  <si>
    <t>VQFN-16</t>
  </si>
  <si>
    <t>Vin_min=0.6V, Vin_max=3V, Vbat_min=2.5V, Vbat_max=5.25V</t>
  </si>
  <si>
    <t>0-REG:SYM-REG-0001</t>
  </si>
  <si>
    <t>1-PACKAGES:Generic-VQFN-16-1EP_3x3mm_P0.5mm_EP1.68x1.68mm</t>
  </si>
  <si>
    <t>https://www.ti.com/lit/ds/symlink/bq25504.pdf?ts=1752276394083</t>
  </si>
  <si>
    <t>BQ25504RGT*</t>
  </si>
  <si>
    <t>C2876746, BASIC</t>
  </si>
  <si>
    <t>Power Rating [W]</t>
  </si>
  <si>
    <t>TCR [ppm/K]</t>
  </si>
  <si>
    <t>RES-000-0000</t>
  </si>
  <si>
    <t>RES ThickF 0Ω ±1% 0.1W 0603 - BASIC</t>
  </si>
  <si>
    <t>0</t>
  </si>
  <si>
    <t>ThickF</t>
  </si>
  <si>
    <t>0-RES:SYM-RES-0000</t>
  </si>
  <si>
    <t>0-RES:FTP-RES-0001</t>
  </si>
  <si>
    <t>UNI-ROYAL</t>
  </si>
  <si>
    <t>0603WAF0000T5E</t>
  </si>
  <si>
    <t>C21189, BASIC</t>
  </si>
  <si>
    <t>07/08/2025: Tolerance spec is placeholder, MPN_1 is poorly documented.</t>
  </si>
  <si>
    <t>RES-000-1000</t>
  </si>
  <si>
    <t>RES ThickF 1Ω ±1% 0.1W 0603 - BASIC</t>
  </si>
  <si>
    <t>1</t>
  </si>
  <si>
    <t>0603WAF100KT5E</t>
  </si>
  <si>
    <t>C22936, BASIC</t>
  </si>
  <si>
    <t>RES-000-1001</t>
  </si>
  <si>
    <t>RES ThickF 10Ω ±1% 0.1W 0603 - BASIC</t>
  </si>
  <si>
    <t>10</t>
  </si>
  <si>
    <t>0603WAF100JT5E</t>
  </si>
  <si>
    <t>C22859, BASIC</t>
  </si>
  <si>
    <t>RES-000-1002</t>
  </si>
  <si>
    <t>RES ThickF 100Ω ±1% 0.1W 0603 - BASIC</t>
  </si>
  <si>
    <t>100</t>
  </si>
  <si>
    <t>0603WAF1000T5E</t>
  </si>
  <si>
    <t>C22775, BASIC</t>
  </si>
  <si>
    <t>RES-000-1003</t>
  </si>
  <si>
    <t>RES ThickF 1kΩ ±1% 0.1W 0603 - BASIC</t>
  </si>
  <si>
    <t>1k</t>
  </si>
  <si>
    <t>0603WAF1001T5E</t>
  </si>
  <si>
    <t>C21190, BASIC</t>
  </si>
  <si>
    <t>RES-000-1004</t>
  </si>
  <si>
    <t>RES ThickF 10kΩ ±1% 0.1W 0603 - BASIC</t>
  </si>
  <si>
    <t>10k</t>
  </si>
  <si>
    <t>0603WAF1002T5E</t>
  </si>
  <si>
    <t>C25804, BASIC</t>
  </si>
  <si>
    <t>RES-000-1005</t>
  </si>
  <si>
    <t>RES ThickF 100kΩ ±1% 0.1W 0603 - BASIC</t>
  </si>
  <si>
    <t>100k</t>
  </si>
  <si>
    <t>0603WAF1003T5E</t>
  </si>
  <si>
    <t>C25803, BASIC</t>
  </si>
  <si>
    <t>RES-000-1006</t>
  </si>
  <si>
    <t>RES ThickF 1MΩ ±1% 0.1W 0603 - BASIC</t>
  </si>
  <si>
    <t>1M</t>
  </si>
  <si>
    <t>0603WAF1004T5E</t>
  </si>
  <si>
    <t>C22935, BASIC</t>
  </si>
  <si>
    <t>RES-000-1007</t>
  </si>
  <si>
    <t>RES ThickF 10MΩ ±1% 0.1W 0603 - BASIC</t>
  </si>
  <si>
    <t>10M</t>
  </si>
  <si>
    <t>0603WAF1005T5E</t>
  </si>
  <si>
    <t>C7250, BASIC</t>
  </si>
  <si>
    <t>RES-000-1651</t>
  </si>
  <si>
    <t>RES ThickF 16.5Ω ±1% 0.1W 0603</t>
  </si>
  <si>
    <t>16.5</t>
  </si>
  <si>
    <t>0603WAF165JT5E</t>
  </si>
  <si>
    <t>C12054, EXT</t>
  </si>
  <si>
    <t>RES-000-2006</t>
  </si>
  <si>
    <t>RES ThickF 2MΩ ±1% 0.1W 0603 - BASIC</t>
  </si>
  <si>
    <t>2M</t>
  </si>
  <si>
    <t>0603WAF2004T5E</t>
  </si>
  <si>
    <t>C22976, BASIC</t>
  </si>
  <si>
    <t>RES-000-2200</t>
  </si>
  <si>
    <t>RES ThickF 2.2Ω ±1% 0.1W 0603 - BASIC</t>
  </si>
  <si>
    <t>2.2</t>
  </si>
  <si>
    <t>0603WAF220KT5E</t>
  </si>
  <si>
    <t>C22939, BASIC</t>
  </si>
  <si>
    <t>RES-000-2201</t>
  </si>
  <si>
    <t>RES ThickF 22Ω ±1% 0.1W 0603 - BASIC</t>
  </si>
  <si>
    <t>22</t>
  </si>
  <si>
    <t>0603WAF220JT5E</t>
  </si>
  <si>
    <t>C23345, BASIC</t>
  </si>
  <si>
    <t>RES-000-2202</t>
  </si>
  <si>
    <t>RES ThickF 220Ω ±1% 0.1W 0603 - BASIC</t>
  </si>
  <si>
    <t>220</t>
  </si>
  <si>
    <t>0603WAF2200T5E</t>
  </si>
  <si>
    <t>C22962, BASIC</t>
  </si>
  <si>
    <t>RES-000-2203</t>
  </si>
  <si>
    <t>RES ThickF 2.2kΩ ±1% 0.1W 0603 - BASIC</t>
  </si>
  <si>
    <t>2.2k</t>
  </si>
  <si>
    <t>0603WAF2201T5E</t>
  </si>
  <si>
    <t>C4190, BASIC</t>
  </si>
  <si>
    <t>RES-000-2204</t>
  </si>
  <si>
    <t>RES ThickF 22kΩ ±1% 0.1W 0603 - BASIC</t>
  </si>
  <si>
    <t>22k</t>
  </si>
  <si>
    <t>0603WAF2202T5E</t>
  </si>
  <si>
    <t>C31850, BASIC</t>
  </si>
  <si>
    <t>RES-000-2205</t>
  </si>
  <si>
    <t>RES ThickF 220kΩ ±1% 0.1W 0603 - BASIC</t>
  </si>
  <si>
    <t>220k</t>
  </si>
  <si>
    <t>0603WAF2203T5E</t>
  </si>
  <si>
    <t>C22961, BASIC</t>
  </si>
  <si>
    <t>RES-000-2702</t>
  </si>
  <si>
    <t>RES ThickF 270Ω ±1% 0.1W 0603 - BASIC</t>
  </si>
  <si>
    <t>270</t>
  </si>
  <si>
    <t>0603WAF2700T5E</t>
  </si>
  <si>
    <t>C22966, BASIC</t>
  </si>
  <si>
    <t>RES-000-3301</t>
  </si>
  <si>
    <t>RES ThickF 33Ω ±1% 0.1W 0603 - BASIC</t>
  </si>
  <si>
    <t>33</t>
  </si>
  <si>
    <t>0603WAF330JT5E</t>
  </si>
  <si>
    <t>C23140, BASIC</t>
  </si>
  <si>
    <t>RES-000-3302</t>
  </si>
  <si>
    <t>RES ThickF 330Ω ±1% 0.1W 0603 - BASIC</t>
  </si>
  <si>
    <t>330</t>
  </si>
  <si>
    <t>0603WAF3300T5E</t>
  </si>
  <si>
    <t>C23138, BASIC</t>
  </si>
  <si>
    <t>RES-000-3303</t>
  </si>
  <si>
    <t>RES ThickF 3.3kΩ ±1% 0.1W 0603 - BASIC</t>
  </si>
  <si>
    <t>3.3k</t>
  </si>
  <si>
    <t>0603WAF3301T5E</t>
  </si>
  <si>
    <t>C22978, BASIC</t>
  </si>
  <si>
    <t>RES-000-3304</t>
  </si>
  <si>
    <t>RES ThickF 33kΩ ±1% 0.1W 0603 - BASIC</t>
  </si>
  <si>
    <t>33k</t>
  </si>
  <si>
    <t>0603WAF3302T5E</t>
  </si>
  <si>
    <t>C4216, BASIC</t>
  </si>
  <si>
    <t>RES-000-3305</t>
  </si>
  <si>
    <t>RES ThickF 330kΩ ±1% 0.1W 0603 - BASIC</t>
  </si>
  <si>
    <t>330k</t>
  </si>
  <si>
    <t>0603WAF3303T5E</t>
  </si>
  <si>
    <t>C23137, BASIC</t>
  </si>
  <si>
    <t>RES-000-4700</t>
  </si>
  <si>
    <t>RES ThickF 4.7Ω ±1% 0.1W 0603 - BASIC</t>
  </si>
  <si>
    <t>4.7</t>
  </si>
  <si>
    <t>0603WAF470KT5E</t>
  </si>
  <si>
    <t>C23164, BASIC</t>
  </si>
  <si>
    <t>RES-000-4701</t>
  </si>
  <si>
    <t>RES ThickF 47Ω ±1% 0.1W 0603 - BASIC</t>
  </si>
  <si>
    <t>47</t>
  </si>
  <si>
    <t>0603WAF470JT5E</t>
  </si>
  <si>
    <t>C23182, BASIC</t>
  </si>
  <si>
    <t>RES-000-4702</t>
  </si>
  <si>
    <t>RES ThickF 470Ω ±1% 0.1W 0603 - BASIC</t>
  </si>
  <si>
    <t>470</t>
  </si>
  <si>
    <t>0603WAF4700T5E</t>
  </si>
  <si>
    <t>C23179, BASIC</t>
  </si>
  <si>
    <t>RES-000-4703</t>
  </si>
  <si>
    <t>RES ThickF 4.7kΩ ±1% 0.1W 0603 - BASIC</t>
  </si>
  <si>
    <t>4.7k</t>
  </si>
  <si>
    <t>0603WAF4701T5E</t>
  </si>
  <si>
    <t>C23162, BASIC</t>
  </si>
  <si>
    <t>RES-000-4705</t>
  </si>
  <si>
    <t>RES ThickF 470kΩ ±1% 0.1W 0603 - BASIC</t>
  </si>
  <si>
    <t>470k</t>
  </si>
  <si>
    <t>0603WAF4703T5E</t>
  </si>
  <si>
    <t>C23178, BASIC</t>
  </si>
  <si>
    <t>RES-000-4991</t>
  </si>
  <si>
    <t>RES ThickF 49.9Ω ±1% 0.1W 0603 - BASIC</t>
  </si>
  <si>
    <t>49.9</t>
  </si>
  <si>
    <t>0603WAF499JT5E</t>
  </si>
  <si>
    <t>C23185, BASIC</t>
  </si>
  <si>
    <t>Stackpole Electronics Inc</t>
  </si>
  <si>
    <t>RMCF0603FT49R9</t>
  </si>
  <si>
    <t>RES-000-5366</t>
  </si>
  <si>
    <t>RES ThickF 5.36MΩ ±1% 0.1W 0603</t>
  </si>
  <si>
    <t>5.36M</t>
  </si>
  <si>
    <t>0603WAF5364T5E</t>
  </si>
  <si>
    <t>C422919, EXT</t>
  </si>
  <si>
    <t>RES-000-5602</t>
  </si>
  <si>
    <t>RES ThickF 560Ω ±1% 0.1W 0603 - BASIC</t>
  </si>
  <si>
    <t>560</t>
  </si>
  <si>
    <t>0603WAF5600T5E</t>
  </si>
  <si>
    <t>C23204, BASIC</t>
  </si>
  <si>
    <t>RES-000-5603</t>
  </si>
  <si>
    <t>RES ThickF 5.6kΩ ±1% 0.1W 0603 - BASIC</t>
  </si>
  <si>
    <t>5.6k</t>
  </si>
  <si>
    <t>0603WAF5601T5E</t>
  </si>
  <si>
    <t>C23189, BASIC</t>
  </si>
  <si>
    <t>RES-000-5604</t>
  </si>
  <si>
    <t>RES ThickF 56kΩ ±1% 0.1W 0603 - BASIC</t>
  </si>
  <si>
    <t>56k</t>
  </si>
  <si>
    <t>0603WAF5602T5E</t>
  </si>
  <si>
    <t>C23206, BASIC</t>
  </si>
  <si>
    <t>RES-000-6206</t>
  </si>
  <si>
    <t>RES ThickF 6.2MΩ ±1% 0.1W 0603</t>
  </si>
  <si>
    <t>6.2M</t>
  </si>
  <si>
    <t>0603WAF6204T5E</t>
  </si>
  <si>
    <t>C54536, EXT</t>
  </si>
  <si>
    <t>RES-000-6802</t>
  </si>
  <si>
    <t>RES ThickF 680Ω ±1% 0.1W 0603 - BASIC</t>
  </si>
  <si>
    <t>680</t>
  </si>
  <si>
    <t>0603WAF6800T5E</t>
  </si>
  <si>
    <t>C23228, BASIC</t>
  </si>
  <si>
    <t>RES-000-6804</t>
  </si>
  <si>
    <t>RES ThickF 68kΩ ±1% 0.1W 0603 - BASIC</t>
  </si>
  <si>
    <t>68k</t>
  </si>
  <si>
    <t>0603WAF6802T5E</t>
  </si>
  <si>
    <t>C23231, BASIC</t>
  </si>
  <si>
    <t>RES-000-7501</t>
  </si>
  <si>
    <t>RES ThickF 75Ω ±1% 0.1W 0603 - BASIC</t>
  </si>
  <si>
    <t>75</t>
  </si>
  <si>
    <t>0603WAF750JT5E</t>
  </si>
  <si>
    <t>C4275, BASIC</t>
  </si>
  <si>
    <t>RES-001-0000</t>
  </si>
  <si>
    <t>RES ThickF 0Ω ±1% 0.0625W 0402 - BASIC</t>
  </si>
  <si>
    <t>0-RES:FTP-RES-0000</t>
  </si>
  <si>
    <t>0402WGF0000TCE</t>
  </si>
  <si>
    <t>C17168, BASIC</t>
  </si>
  <si>
    <t>RES-001-1001</t>
  </si>
  <si>
    <t>RES ThickF 10Ω ±1% 0.0625W 0402 - BASIC</t>
  </si>
  <si>
    <t>0402WGF100JTCE</t>
  </si>
  <si>
    <t>C25077, BASIC</t>
  </si>
  <si>
    <t>RES-001-1002</t>
  </si>
  <si>
    <t>RES ThickF 100Ω ±1% 0.0625W 0402 - BASIC</t>
  </si>
  <si>
    <t>0402WGF1000TCE</t>
  </si>
  <si>
    <t>C25076, BASIC</t>
  </si>
  <si>
    <t>RES-001-1003</t>
  </si>
  <si>
    <t>RES ThickF 1kΩ ±1% 0.0625W 0402 - BASIC</t>
  </si>
  <si>
    <t>0402WGF1001TCE</t>
  </si>
  <si>
    <t>C11702, BASIC</t>
  </si>
  <si>
    <t>RES-001-1004</t>
  </si>
  <si>
    <t>RES ThickF 10kΩ ±1% 0.0625W 0402 - BASIC</t>
  </si>
  <si>
    <t>0402WGF1002TCE</t>
  </si>
  <si>
    <t>C25744, BASIC</t>
  </si>
  <si>
    <t>RES-001-1005</t>
  </si>
  <si>
    <t>RES ThickF 100kΩ ±1% 0.0625W 0402 - BASIC</t>
  </si>
  <si>
    <t>0402WGF1003TCE</t>
  </si>
  <si>
    <t>C25741, BASIC</t>
  </si>
  <si>
    <t>RES-001-1006</t>
  </si>
  <si>
    <t>RES ThickF 1MΩ ±1% 0.0625W 0402 - BASIC</t>
  </si>
  <si>
    <t>0402WGF1004TCE</t>
  </si>
  <si>
    <t>C26083, BASIC</t>
  </si>
  <si>
    <t>RES-001-1007</t>
  </si>
  <si>
    <t>RES ThickF 10MΩ ±1% 0.0625W 0402 - BASIC</t>
  </si>
  <si>
    <t>0402WGF1005TCE</t>
  </si>
  <si>
    <t>C26082, EXT</t>
  </si>
  <si>
    <t>RES-001-1202</t>
  </si>
  <si>
    <t>RES ThickF 120Ω ±1% 0.0625W 0402 - BASIC</t>
  </si>
  <si>
    <t>120</t>
  </si>
  <si>
    <t>0402WGF1200TCE</t>
  </si>
  <si>
    <t>C25079, BASIC</t>
  </si>
  <si>
    <t>RES-001-1304</t>
  </si>
  <si>
    <t>RES ThickF 13kΩ ±1% 0.0625W 0402</t>
  </si>
  <si>
    <t>13k</t>
  </si>
  <si>
    <t>0402WGF1302TCE</t>
  </si>
  <si>
    <t>C25754, EXT</t>
  </si>
  <si>
    <t>RES-001-1697</t>
  </si>
  <si>
    <t>RES ThickF 16.9MΩ ±1% 0.0625W 0402</t>
  </si>
  <si>
    <t>16.9M</t>
  </si>
  <si>
    <t>0402WGF1695TCE</t>
  </si>
  <si>
    <t>C423225, EXT</t>
  </si>
  <si>
    <t>RES-001-2002</t>
  </si>
  <si>
    <t>RES ThickF 200Ω ±1% 0.0625W 0402 - BASIC</t>
  </si>
  <si>
    <t>200</t>
  </si>
  <si>
    <t>0402WGF2000TCE</t>
  </si>
  <si>
    <t>C25087, BASIC</t>
  </si>
  <si>
    <t>RES-001-2003</t>
  </si>
  <si>
    <t>RES ThickF 2kΩ ±1% 0.0625W 0402 - BASIC</t>
  </si>
  <si>
    <t>2k</t>
  </si>
  <si>
    <t>0402WGF2001TCE</t>
  </si>
  <si>
    <t>C4109, BASIC</t>
  </si>
  <si>
    <t>RES-001-2005</t>
  </si>
  <si>
    <t>RES ThickF 200kΩ ±1% 0.0625W 0402 - BASIC</t>
  </si>
  <si>
    <t>200k</t>
  </si>
  <si>
    <t>0402WGF2003TCE</t>
  </si>
  <si>
    <t>C25764, BASIC</t>
  </si>
  <si>
    <t>RES-001-2201</t>
  </si>
  <si>
    <t>RES ThickF 22Ω ±1% 0.0625W 0402 - BASIC</t>
  </si>
  <si>
    <t>0402WGF220JTCE</t>
  </si>
  <si>
    <t>C25092, BASIC</t>
  </si>
  <si>
    <t>RES-001-2202</t>
  </si>
  <si>
    <t>RES ThickF 220Ω ±1% 0.0625W 0402 - BASIC</t>
  </si>
  <si>
    <t>0402WGF2200TCE</t>
  </si>
  <si>
    <t>C25091, BASIC</t>
  </si>
  <si>
    <t>RES-001-2203</t>
  </si>
  <si>
    <t>RES ThickF 2.2kΩ ±1% 0.0625W 0402 - BASIC</t>
  </si>
  <si>
    <t>0402WGF2201TCE</t>
  </si>
  <si>
    <t>C25879, BASIC</t>
  </si>
  <si>
    <t>RES-001-2204</t>
  </si>
  <si>
    <t>RES ThickF 22kΩ ±1% 0.0625W 0402 - BASIC</t>
  </si>
  <si>
    <t>0402WGF2202TCE</t>
  </si>
  <si>
    <t>C25768, BASIC</t>
  </si>
  <si>
    <t>RES-001-2494</t>
  </si>
  <si>
    <t>RES ThickF 24.9KΩ ±1% 0.0625W 0402</t>
  </si>
  <si>
    <t>24.9K</t>
  </si>
  <si>
    <t>`</t>
  </si>
  <si>
    <t>0402WGF2492TCE</t>
  </si>
  <si>
    <t>C25874, EXT</t>
  </si>
  <si>
    <t>RES-001-2705</t>
  </si>
  <si>
    <t>RES ThickF 270kΩ ±1% 0.0625W 0402</t>
  </si>
  <si>
    <t>270k</t>
  </si>
  <si>
    <t>YAGEO</t>
  </si>
  <si>
    <t>RC0402FR-07270KL</t>
  </si>
  <si>
    <t>C163475, EXT</t>
  </si>
  <si>
    <t>RES-001-3301</t>
  </si>
  <si>
    <t>RES ThickF 33Ω ±1% 0.0625W 0402 - BASIC</t>
  </si>
  <si>
    <t>0402WGF330JTCE</t>
  </si>
  <si>
    <t>C25105, BASIC</t>
  </si>
  <si>
    <t>RES-001-3302</t>
  </si>
  <si>
    <t>RES ThickF 330Ω ±1% 0.0625W 0402</t>
  </si>
  <si>
    <t>0402WGF3300TCE</t>
  </si>
  <si>
    <t>C25104, BASIC</t>
  </si>
  <si>
    <t>RES-001-3303</t>
  </si>
  <si>
    <t>RES ThickF 3.3kΩ ±1% 0.0625W 0402 - BASIC</t>
  </si>
  <si>
    <t>0402WGF3301TCE</t>
  </si>
  <si>
    <t>C25890, BASIC</t>
  </si>
  <si>
    <t>RES-001-3304</t>
  </si>
  <si>
    <t>RES ThickF 33kΩ ±1% 0.0625W 0402 - BASIC</t>
  </si>
  <si>
    <t>0402WGF3302TCE</t>
  </si>
  <si>
    <t>C25779, BASIC</t>
  </si>
  <si>
    <t>RES-001-3606</t>
  </si>
  <si>
    <t>RES ThickF 3.6MΩ ±1% 0.0625W 0402</t>
  </si>
  <si>
    <t>3.6M</t>
  </si>
  <si>
    <t>0402WGF3604TCE</t>
  </si>
  <si>
    <t>C423182, EXT</t>
  </si>
  <si>
    <t>RES-001-4026</t>
  </si>
  <si>
    <t>RES ThickF 4.02MΩ ±1% 0.0625W 0402</t>
  </si>
  <si>
    <t>4.02M</t>
  </si>
  <si>
    <t>0402WGF4024TCE</t>
  </si>
  <si>
    <t>C423177, EXT</t>
  </si>
  <si>
    <t>RES-001-4646</t>
  </si>
  <si>
    <t>RES ThickF 4.64MΩ ±1% 0.0625W 0402</t>
  </si>
  <si>
    <t>4.64M</t>
  </si>
  <si>
    <t>0402WGF4644TCE</t>
  </si>
  <si>
    <t>C423165, EXT</t>
  </si>
  <si>
    <t>RES-001-4702</t>
  </si>
  <si>
    <t>RES ThickF 470Ω ±1% 0.0625W 0402 - BASIC</t>
  </si>
  <si>
    <t>0402WGF4700TCE</t>
  </si>
  <si>
    <t>C25117, BASIC</t>
  </si>
  <si>
    <t>RES-001-4703</t>
  </si>
  <si>
    <t>RES ThickF 4.7kΩ ±1% 0.0625W 0402 - BASIC</t>
  </si>
  <si>
    <t>0402WGF4701TCE</t>
  </si>
  <si>
    <t>C25900, BASIC</t>
  </si>
  <si>
    <t>RES-001-4704</t>
  </si>
  <si>
    <t>RES ThickF 47kΩ ±1% 0.0625W 0402 - BASIC</t>
  </si>
  <si>
    <t>47k</t>
  </si>
  <si>
    <t>0402WGF4702TCE</t>
  </si>
  <si>
    <t>C25792, BASIC</t>
  </si>
  <si>
    <t>RES-001-4991</t>
  </si>
  <si>
    <t>RES ThickF 49.9Ω ±1% 0.0625W 0402 - BASIC</t>
  </si>
  <si>
    <t>0402WGF499JTCE</t>
  </si>
  <si>
    <t>C25120, BASIC</t>
  </si>
  <si>
    <t>RES-001-5605</t>
  </si>
  <si>
    <t>RES ThickF 560kΩ ±1% 0.0625W 0402</t>
  </si>
  <si>
    <t>560k</t>
  </si>
  <si>
    <t>0402WGF5603TCE</t>
  </si>
  <si>
    <t>C132339, EXT</t>
  </si>
  <si>
    <t>RES-001-6496</t>
  </si>
  <si>
    <t>RES ThickF 6.49MΩ ±1% 0.0625W 0402</t>
  </si>
  <si>
    <t>6.49M</t>
  </si>
  <si>
    <t>0402WGF6494TCE</t>
  </si>
  <si>
    <t>C38588, EXT</t>
  </si>
  <si>
    <t>RES-002-1002</t>
  </si>
  <si>
    <t>RES Pot 100Ω 0.1W, Vertical</t>
  </si>
  <si>
    <t>Pot</t>
  </si>
  <si>
    <t>0-RES:SYM-RES-0001</t>
  </si>
  <si>
    <t>0-RES:FTP-RES-0003</t>
  </si>
  <si>
    <t>KYOCERA AVX</t>
  </si>
  <si>
    <t>601010</t>
  </si>
  <si>
    <t>8/17/2025: Jelly bean THT potentiometer. Se also RM065 kits.</t>
  </si>
  <si>
    <t>RES-003-2700</t>
  </si>
  <si>
    <t>RES ThickF 2.7Ω ±1% 0.125W 0805</t>
  </si>
  <si>
    <t>2.7</t>
  </si>
  <si>
    <t>0-RES:FTP-RES-0002</t>
  </si>
  <si>
    <t>Stackpole Electronics</t>
  </si>
  <si>
    <t>RMCF0805FT2R70</t>
  </si>
  <si>
    <t>C4101419, EXT</t>
  </si>
  <si>
    <t>0805W8F270KT5E</t>
  </si>
  <si>
    <t>C17532, EXT</t>
  </si>
  <si>
    <t>12/13/2025: Changed RES-003 to 200ppm to make it more crossable.</t>
  </si>
  <si>
    <t>RES-003-6800</t>
  </si>
  <si>
    <t>RES ThickF 6.8Ω ±1% 0.125W 0805 - BASIC</t>
  </si>
  <si>
    <t>6.8</t>
  </si>
  <si>
    <t>RC0805FR-076R8L</t>
  </si>
  <si>
    <t>C137492, EXT</t>
  </si>
  <si>
    <t>RES-004-0010</t>
  </si>
  <si>
    <t>RES ThickF 0.1Ω ±1% 0.25W 1206 - BASIC</t>
  </si>
  <si>
    <t>0.1</t>
  </si>
  <si>
    <t>1206</t>
  </si>
  <si>
    <t>0-RES:FTP-RES-0004</t>
  </si>
  <si>
    <t>1206W4F100LT5E</t>
  </si>
  <si>
    <t>C25334, BASIC</t>
  </si>
  <si>
    <t>RES-005-3656</t>
  </si>
  <si>
    <t>RES ThickF 3.65MΩ ±1% 0.1W 0603</t>
  </si>
  <si>
    <t>3.65M</t>
  </si>
  <si>
    <t>0603WAF3654T5E</t>
  </si>
  <si>
    <t>C407525, EXT</t>
  </si>
  <si>
    <t>RC0603FR-073M65L</t>
  </si>
  <si>
    <t>C482835, EXT</t>
  </si>
  <si>
    <t>RES-005-3906</t>
  </si>
  <si>
    <t>RES ThickF 3.9MΩ ±1% 0.1W 0603</t>
  </si>
  <si>
    <t>3.9M</t>
  </si>
  <si>
    <t>0603WAF3904T5E</t>
  </si>
  <si>
    <t>C23019, EXT</t>
  </si>
  <si>
    <t>RES-005-4656</t>
  </si>
  <si>
    <t>RES ThickF 4.64MΩ ±1% 0.1W 0603</t>
  </si>
  <si>
    <t>0603WAF4644T5E</t>
  </si>
  <si>
    <t>C422925, EXT</t>
  </si>
  <si>
    <t>RC0603FR-074M64L</t>
  </si>
  <si>
    <t>C482862, EXT</t>
  </si>
  <si>
    <t>RES-005-5366</t>
  </si>
  <si>
    <t>RC0603FR-075M36L</t>
  </si>
  <si>
    <t>C482876, EXT</t>
  </si>
  <si>
    <t>RES-005-5626</t>
  </si>
  <si>
    <t>RES ThickF 5.62MΩ ±1% 0.1W 0603</t>
  </si>
  <si>
    <t>5.62M</t>
  </si>
  <si>
    <t>0603WAF5624T5E</t>
  </si>
  <si>
    <t>C422916, EXT</t>
  </si>
  <si>
    <t>RC0603FR-075M62L</t>
  </si>
  <si>
    <t>C482880, EXT</t>
  </si>
  <si>
    <t>RES-005-5906</t>
  </si>
  <si>
    <t>RES ThickF 5.9MΩ ±1% 0.1W 0603</t>
  </si>
  <si>
    <t>5.9M</t>
  </si>
  <si>
    <t>0603WAF5904T5E</t>
  </si>
  <si>
    <t>C422915, EXT</t>
  </si>
  <si>
    <t>RES-999-0000</t>
  </si>
  <si>
    <t>RES-999-0001</t>
  </si>
  <si>
    <t>RES-999-0002</t>
  </si>
  <si>
    <t>RLY-000-0000</t>
  </si>
  <si>
    <t>Automotive Relay Socket</t>
  </si>
  <si>
    <t>RLY0000000</t>
  </si>
  <si>
    <t>0-RLY:SYM-REL-0000</t>
  </si>
  <si>
    <t>0-RLY:FTP-RLY-0001</t>
  </si>
  <si>
    <t>https://www.citrelay.com/wp-content/uploads/2025/08/Sockets.pdf</t>
  </si>
  <si>
    <t>CIT</t>
  </si>
  <si>
    <t>HD-1003</t>
  </si>
  <si>
    <t>C5729356</t>
  </si>
  <si>
    <t>11/9/2025: Beware untested footprint. Not aligned with JLC.</t>
  </si>
  <si>
    <t>RLY-001-0000</t>
  </si>
  <si>
    <t>HV Relay Socket - 3PDT</t>
  </si>
  <si>
    <t>RLY0010000</t>
  </si>
  <si>
    <t>0-RLY:SYM-REL-0001</t>
  </si>
  <si>
    <t>0-RLY:FTP-RLY-0000</t>
  </si>
  <si>
    <t>https://assets.omron.com/m/6826d5f838b1df29/original/MJN-Datasheet.pdf</t>
  </si>
  <si>
    <t>OMRON</t>
  </si>
  <si>
    <t>PTFPCB</t>
  </si>
  <si>
    <t>C1524944</t>
  </si>
  <si>
    <t>RLY-001-0001</t>
  </si>
  <si>
    <t>HV Relay Socket - 2PDT</t>
  </si>
  <si>
    <t>RLY0010001</t>
  </si>
  <si>
    <t>0-RLY:SYM-REL-0002</t>
  </si>
  <si>
    <t>11/9/2025 Only for DPDT MJN-series relays.</t>
  </si>
  <si>
    <t>SWI-101-0000</t>
  </si>
  <si>
    <t>Tactile Switch, Top-actuated Model</t>
  </si>
  <si>
    <t>SWI1010000</t>
  </si>
  <si>
    <t>5.00x3.00</t>
  </si>
  <si>
    <t>SPST</t>
  </si>
  <si>
    <t>0-SWI:SYM-SWI-0000</t>
  </si>
  <si>
    <t>0-SWI:FTP-SWI-0000</t>
  </si>
  <si>
    <t>XUNPU</t>
  </si>
  <si>
    <t>TS-1088-AR02016</t>
  </si>
  <si>
    <t>C720477, BASIC</t>
  </si>
  <si>
    <t>CS1213AGF160</t>
  </si>
  <si>
    <t>C6768543, EXT</t>
  </si>
  <si>
    <t>7/12/2025: Need to triple check the footprint before release.</t>
  </si>
  <si>
    <t>SWI-222-0000</t>
  </si>
  <si>
    <t>Dip Switch, Vertical, 2Pos</t>
  </si>
  <si>
    <t>SWI2220000</t>
  </si>
  <si>
    <t>0-SWI:SYM-SWI-0002</t>
  </si>
  <si>
    <t>0-SWI:FTP-SWI-0002</t>
  </si>
  <si>
    <t>https://www.sameskydevices.com/product/resource/ds01-254.pdf</t>
  </si>
  <si>
    <t>SAME SKY</t>
  </si>
  <si>
    <t>DS01-254-L-02BE</t>
  </si>
  <si>
    <t>SWI-226-0000</t>
  </si>
  <si>
    <t>Dip Switch, Vertical, 6Pos</t>
  </si>
  <si>
    <t>SWI2260000</t>
  </si>
  <si>
    <t>0-SWI:SYM-SWI-0001</t>
  </si>
  <si>
    <t>0-SWI:FTP-SWI-0001</t>
  </si>
  <si>
    <t>DS01C-254-S-06BE</t>
  </si>
  <si>
    <t>TRN-000-0000</t>
  </si>
  <si>
    <t>BJT NPN, 45Vce, 0.6A, hfe ~160 @0.1A</t>
  </si>
  <si>
    <t>TRN0000000</t>
  </si>
  <si>
    <t>BJT</t>
  </si>
  <si>
    <t>0-TRN:SYM-TRN-0002</t>
  </si>
  <si>
    <t>https://assets.nexperia.com/documents/data-sheet/BCW66X_SER.pdf</t>
  </si>
  <si>
    <t>BCW66G*</t>
  </si>
  <si>
    <t>C549643, EXT</t>
  </si>
  <si>
    <t>C165612, EXT</t>
  </si>
  <si>
    <t>TRN-000-9999</t>
  </si>
  <si>
    <t>BJT, NPN, TBD</t>
  </si>
  <si>
    <t>TRN0009999</t>
  </si>
  <si>
    <t>Placeholder</t>
  </si>
  <si>
    <t>TRN-010-0000</t>
  </si>
  <si>
    <t>NMOS 30Vds 5.7A 1.4W  SOT-23-3</t>
  </si>
  <si>
    <t>TRN0100000</t>
  </si>
  <si>
    <t>MOSFET</t>
  </si>
  <si>
    <t>0-TRN:SYM-TRN-0000</t>
  </si>
  <si>
    <t>https://mm.digikey.com/Volume0/opasdata/d220001/medias/docus/1133/AO3400A_ds.pdf</t>
  </si>
  <si>
    <t>Alpha &amp; Omega</t>
  </si>
  <si>
    <t>AO3400A</t>
  </si>
  <si>
    <t>C20917, BASIC</t>
  </si>
  <si>
    <t>7/12/2025: MPN_1 is NRND, lots of similar parts available. Will need to add sources later.</t>
  </si>
  <si>
    <t>TRN-010-9999</t>
  </si>
  <si>
    <t>MOSFET, NMOS, TBD</t>
  </si>
  <si>
    <t>TRN0109999</t>
  </si>
  <si>
    <t>TRN-011-0000</t>
  </si>
  <si>
    <t>PMOS -20Vds 8Vgs SOT23-3 3.1A</t>
  </si>
  <si>
    <t>TRN0110000</t>
  </si>
  <si>
    <t>0-TRN:SYM-TRN-0001</t>
  </si>
  <si>
    <t>https://www.vishay.com/docs/72066/si2301bds.pdf</t>
  </si>
  <si>
    <t>Vishay</t>
  </si>
  <si>
    <t>Si2301BDS-T1-*E3</t>
  </si>
  <si>
    <t>C10487, BASIC</t>
  </si>
  <si>
    <t>TRN-011-0001</t>
  </si>
  <si>
    <t>PMOS -30Vds 4A 1.4W SOT-23-3</t>
  </si>
  <si>
    <t>TRN0110001</t>
  </si>
  <si>
    <t>https://www.aosmd.com/sites/default/files/res/datasheets/AO3401A.pdf</t>
  </si>
  <si>
    <t>AO3401A</t>
  </si>
  <si>
    <t>C15127, BASIC</t>
  </si>
  <si>
    <t>TRN-011-9999</t>
  </si>
  <si>
    <t>MOSFET, PMOS, TBD</t>
  </si>
  <si>
    <t>TRN0119999</t>
  </si>
  <si>
    <t>ana_techno</t>
  </si>
  <si>
    <t>cap_dielectric</t>
  </si>
  <si>
    <t>cap_techno</t>
  </si>
  <si>
    <t>dio_techno</t>
  </si>
  <si>
    <t>ics_techno</t>
  </si>
  <si>
    <t>ind_techno</t>
  </si>
  <si>
    <t>mfn</t>
  </si>
  <si>
    <t>mount_type</t>
  </si>
  <si>
    <t>package</t>
  </si>
  <si>
    <t>reg_techno</t>
  </si>
  <si>
    <t>res_techno</t>
  </si>
  <si>
    <t>status</t>
  </si>
  <si>
    <t>trn_techno</t>
  </si>
  <si>
    <t>lcsc_type</t>
  </si>
  <si>
    <t>Name</t>
  </si>
  <si>
    <t>name</t>
  </si>
  <si>
    <t>description</t>
  </si>
  <si>
    <t>Alternate Name</t>
  </si>
  <si>
    <t>ADC</t>
  </si>
  <si>
    <t>Analog to digital converter</t>
  </si>
  <si>
    <t>AlumElec</t>
  </si>
  <si>
    <t>Aluminum Electrolytic</t>
  </si>
  <si>
    <t>Light emitting diode.</t>
  </si>
  <si>
    <t>Choke</t>
  </si>
  <si>
    <t>SCREW</t>
  </si>
  <si>
    <t>Switching step up converter.</t>
  </si>
  <si>
    <t>Potentiometer</t>
  </si>
  <si>
    <t>Tested and approved alternate.</t>
  </si>
  <si>
    <t>Bipolar Junction FET</t>
  </si>
  <si>
    <t>Comp</t>
  </si>
  <si>
    <t>Comparator</t>
  </si>
  <si>
    <t>AlumPoly</t>
  </si>
  <si>
    <t>Aluminum Polymer</t>
  </si>
  <si>
    <t>Schottky</t>
  </si>
  <si>
    <t>Semiconductor-metal junction. Low Vfd, and fast recovery.</t>
  </si>
  <si>
    <t>Logic, AND</t>
  </si>
  <si>
    <t>Ferrite Bead</t>
  </si>
  <si>
    <t>Ferrite bead used for filtering.</t>
  </si>
  <si>
    <t>SMD</t>
  </si>
  <si>
    <t>BUCK</t>
  </si>
  <si>
    <t>Switching step down converter.</t>
  </si>
  <si>
    <t>Thick Film</t>
  </si>
  <si>
    <t>Not compatible, but may be very similar. Could be used if other HW modifications were made to the circuit.</t>
  </si>
  <si>
    <t>IGBT</t>
  </si>
  <si>
    <t>Insulated Gate Bipolar Transistor</t>
  </si>
  <si>
    <t>EXTENDED</t>
  </si>
  <si>
    <t>JLCPCB charges extra fee.</t>
  </si>
  <si>
    <t>DAC</t>
  </si>
  <si>
    <t>Digital to analog converter</t>
  </si>
  <si>
    <t>Ceramic</t>
  </si>
  <si>
    <t>Generic silicon diode.</t>
  </si>
  <si>
    <t>Power inductor.</t>
  </si>
  <si>
    <t>THT</t>
  </si>
  <si>
    <t>BUCK-BOOST</t>
  </si>
  <si>
    <t>Switching converter, step up and down.</t>
  </si>
  <si>
    <t>ThinF</t>
  </si>
  <si>
    <t>Thin Film</t>
  </si>
  <si>
    <t>Untested alternate, but seems like a good part.</t>
  </si>
  <si>
    <t>JFET</t>
  </si>
  <si>
    <t>Junction Field Effect Transistor</t>
  </si>
  <si>
    <t>Operational amplifier</t>
  </si>
  <si>
    <t>SuperCap</t>
  </si>
  <si>
    <t>SuperCapacitor</t>
  </si>
  <si>
    <t>Transient voltage suppression diode.</t>
  </si>
  <si>
    <t>Logic, XOR</t>
  </si>
  <si>
    <t>Ind, Small Signal</t>
  </si>
  <si>
    <t>Air core inductor used for signal conditioning.</t>
  </si>
  <si>
    <t>Any IC seeking to harvest energy. Solar cells ect.</t>
  </si>
  <si>
    <t>Wire</t>
  </si>
  <si>
    <t>Wire Wound</t>
  </si>
  <si>
    <t>End of life or obsolete</t>
  </si>
  <si>
    <t>Metal Oxide Semiconductor Field Effect Transistor</t>
  </si>
  <si>
    <t>Tant</t>
  </si>
  <si>
    <t>Tantalum</t>
  </si>
  <si>
    <t>Zener</t>
  </si>
  <si>
    <t>Loigc, OR</t>
  </si>
  <si>
    <t>XFRM</t>
  </si>
  <si>
    <t>Transformer</t>
  </si>
  <si>
    <t>1210</t>
  </si>
  <si>
    <t>LDO</t>
  </si>
  <si>
    <t>Linear Voltage Regulator</t>
  </si>
  <si>
    <t>Preferred part to use.</t>
  </si>
  <si>
    <t>1812</t>
  </si>
  <si>
    <t>2010</t>
  </si>
  <si>
    <t>2512</t>
  </si>
  <si>
    <t>SMA</t>
  </si>
  <si>
    <t>SC-76</t>
  </si>
  <si>
    <t>5-TSSOP, SC-70-5, SOT-353</t>
  </si>
  <si>
    <t>SC-74A, SOT-753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</si>
</sst>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sz val="11"/>
      <name val="Arial"/>
      <charset val="1"/>
    </font>
    <font>
      <sz val="1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833C00"/>
        <bgColor rgb="FF993366"/>
      </patternFill>
    </fill>
    <fill>
      <patternFill patternType="solid">
        <fgColor theme="9" tint="0.79989013336588644"/>
        <bgColor rgb="FFFFFFFF"/>
      </patternFill>
    </fill>
    <fill>
      <patternFill patternType="solid">
        <fgColor rgb="FF1F4E78"/>
        <bgColor rgb="FF203864"/>
      </patternFill>
    </fill>
    <fill>
      <patternFill patternType="solid">
        <fgColor rgb="FF203864"/>
        <bgColor rgb="FF1F4E78"/>
      </patternFill>
    </fill>
    <fill>
      <patternFill patternType="solid">
        <fgColor rgb="FF548235"/>
        <bgColor rgb="FF339966"/>
      </patternFill>
    </fill>
  </fills>
  <borders count="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1"/>
    <xf numFmtId="0" fontId="2" fillId="3" borderId="0" xfId="0" applyFont="1" applyFill="1"/>
    <xf numFmtId="0" fontId="4" fillId="3" borderId="0" xfId="0" applyFont="1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1" fillId="6" borderId="0" xfId="0" applyFont="1" applyFill="1" applyAlignment="1">
      <alignment horizontal="center" vertical="center" wrapText="1"/>
    </xf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833C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zoomScaleNormal="100" workbookViewId="0">
      <selection activeCell="B2" sqref="B2"/>
    </sheetView>
  </sheetViews>
  <sheetFormatPr defaultColWidth="8.6640625" defaultRowHeight="14.4" x14ac:dyDescent="0.3"/>
  <cols>
    <col min="1" max="2" width="10" customWidth="1"/>
    <col min="3" max="3" width="25" customWidth="1"/>
    <col min="4" max="4" width="57" bestFit="1" customWidth="1"/>
    <col min="5" max="5" width="11" customWidth="1"/>
    <col min="9" max="9" width="13.88671875" customWidth="1"/>
  </cols>
  <sheetData>
    <row r="1" spans="1:9" ht="27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I1" s="2" t="s">
        <v>5</v>
      </c>
    </row>
    <row r="2" spans="1:9" x14ac:dyDescent="0.3">
      <c r="A2" s="3" t="s">
        <v>6</v>
      </c>
      <c r="B2" s="4" t="s">
        <v>6</v>
      </c>
      <c r="C2" s="3" t="s">
        <v>7</v>
      </c>
      <c r="D2" s="3" t="s">
        <v>8</v>
      </c>
      <c r="E2" s="5">
        <f t="shared" ref="E2:E22" ca="1" si="0">COUNTIF(INDIRECT(_xlfn.CONCAT(B2,"!A:A")), "*")-1</f>
        <v>1</v>
      </c>
      <c r="I2" s="6" t="s">
        <v>9</v>
      </c>
    </row>
    <row r="3" spans="1:9" x14ac:dyDescent="0.3">
      <c r="A3" s="3" t="s">
        <v>10</v>
      </c>
      <c r="B3" s="4" t="s">
        <v>10</v>
      </c>
      <c r="C3" s="3" t="s">
        <v>11</v>
      </c>
      <c r="D3" s="3" t="s">
        <v>12</v>
      </c>
      <c r="E3" s="5">
        <f t="shared" ca="1" si="0"/>
        <v>26</v>
      </c>
    </row>
    <row r="4" spans="1:9" x14ac:dyDescent="0.3">
      <c r="A4" s="3" t="s">
        <v>13</v>
      </c>
      <c r="B4" s="4" t="s">
        <v>13</v>
      </c>
      <c r="C4" s="3" t="s">
        <v>14</v>
      </c>
      <c r="D4" s="3" t="s">
        <v>15</v>
      </c>
      <c r="E4" s="5">
        <f t="shared" ca="1" si="0"/>
        <v>7</v>
      </c>
    </row>
    <row r="5" spans="1:9" x14ac:dyDescent="0.3">
      <c r="A5" s="3" t="s">
        <v>16</v>
      </c>
      <c r="B5" s="4" t="s">
        <v>16</v>
      </c>
      <c r="C5" s="3" t="s">
        <v>17</v>
      </c>
      <c r="D5" s="3" t="s">
        <v>18</v>
      </c>
      <c r="E5" s="5">
        <f t="shared" ca="1" si="0"/>
        <v>0</v>
      </c>
    </row>
    <row r="6" spans="1:9" x14ac:dyDescent="0.3">
      <c r="A6" s="3" t="s">
        <v>19</v>
      </c>
      <c r="B6" s="4" t="s">
        <v>19</v>
      </c>
      <c r="C6" s="3" t="s">
        <v>20</v>
      </c>
      <c r="D6" s="3" t="s">
        <v>21</v>
      </c>
      <c r="E6" s="5">
        <f t="shared" ca="1" si="0"/>
        <v>14</v>
      </c>
    </row>
    <row r="7" spans="1:9" x14ac:dyDescent="0.3">
      <c r="A7" s="3" t="s">
        <v>22</v>
      </c>
      <c r="B7" s="4" t="s">
        <v>22</v>
      </c>
      <c r="C7" s="3" t="s">
        <v>23</v>
      </c>
      <c r="D7" s="3" t="s">
        <v>24</v>
      </c>
      <c r="E7" s="5">
        <f t="shared" ca="1" si="0"/>
        <v>7</v>
      </c>
    </row>
    <row r="8" spans="1:9" x14ac:dyDescent="0.3">
      <c r="A8" s="3" t="s">
        <v>25</v>
      </c>
      <c r="B8" s="4" t="s">
        <v>25</v>
      </c>
      <c r="C8" s="3" t="s">
        <v>26</v>
      </c>
      <c r="D8" s="3" t="s">
        <v>27</v>
      </c>
      <c r="E8" s="5">
        <f t="shared" ca="1" si="0"/>
        <v>4</v>
      </c>
    </row>
    <row r="9" spans="1:9" x14ac:dyDescent="0.3">
      <c r="A9" s="3" t="s">
        <v>28</v>
      </c>
      <c r="B9" s="4" t="s">
        <v>28</v>
      </c>
      <c r="C9" s="3" t="s">
        <v>29</v>
      </c>
      <c r="D9" s="3" t="s">
        <v>30</v>
      </c>
      <c r="E9" s="5">
        <f t="shared" ca="1" si="0"/>
        <v>2</v>
      </c>
    </row>
    <row r="10" spans="1:9" x14ac:dyDescent="0.3">
      <c r="A10" s="3" t="s">
        <v>31</v>
      </c>
      <c r="B10" s="4" t="s">
        <v>31</v>
      </c>
      <c r="C10" s="3" t="s">
        <v>32</v>
      </c>
      <c r="D10" s="3" t="s">
        <v>33</v>
      </c>
      <c r="E10" s="5">
        <f t="shared" ca="1" si="0"/>
        <v>1</v>
      </c>
    </row>
    <row r="11" spans="1:9" x14ac:dyDescent="0.3">
      <c r="A11" s="3" t="s">
        <v>34</v>
      </c>
      <c r="B11" s="4" t="s">
        <v>34</v>
      </c>
      <c r="C11" s="3" t="s">
        <v>35</v>
      </c>
      <c r="D11" s="3" t="s">
        <v>36</v>
      </c>
      <c r="E11" s="5">
        <f t="shared" ca="1" si="0"/>
        <v>0</v>
      </c>
    </row>
    <row r="12" spans="1:9" x14ac:dyDescent="0.3">
      <c r="A12" s="3" t="s">
        <v>37</v>
      </c>
      <c r="B12" s="4" t="s">
        <v>37</v>
      </c>
      <c r="C12" s="3" t="s">
        <v>38</v>
      </c>
      <c r="D12" s="3" t="s">
        <v>39</v>
      </c>
      <c r="E12" s="5">
        <f t="shared" ca="1" si="0"/>
        <v>7</v>
      </c>
    </row>
    <row r="13" spans="1:9" x14ac:dyDescent="0.3">
      <c r="A13" s="3" t="s">
        <v>40</v>
      </c>
      <c r="B13" s="4" t="s">
        <v>40</v>
      </c>
      <c r="C13" s="3" t="s">
        <v>41</v>
      </c>
      <c r="D13" s="3" t="s">
        <v>42</v>
      </c>
      <c r="E13" s="5">
        <f t="shared" ca="1" si="0"/>
        <v>0</v>
      </c>
    </row>
    <row r="14" spans="1:9" x14ac:dyDescent="0.3">
      <c r="A14" s="3" t="s">
        <v>43</v>
      </c>
      <c r="B14" s="4" t="s">
        <v>43</v>
      </c>
      <c r="C14" s="3" t="s">
        <v>44</v>
      </c>
      <c r="D14" s="3" t="s">
        <v>45</v>
      </c>
      <c r="E14" s="5">
        <f t="shared" ca="1" si="0"/>
        <v>0</v>
      </c>
    </row>
    <row r="15" spans="1:9" x14ac:dyDescent="0.3">
      <c r="A15" s="3" t="s">
        <v>46</v>
      </c>
      <c r="B15" s="4" t="s">
        <v>46</v>
      </c>
      <c r="C15" s="3" t="s">
        <v>47</v>
      </c>
      <c r="D15" s="3" t="s">
        <v>48</v>
      </c>
      <c r="E15" s="5">
        <f t="shared" ca="1" si="0"/>
        <v>2</v>
      </c>
    </row>
    <row r="16" spans="1:9" x14ac:dyDescent="0.3">
      <c r="A16" s="3" t="s">
        <v>49</v>
      </c>
      <c r="B16" s="4" t="s">
        <v>49</v>
      </c>
      <c r="C16" s="3" t="s">
        <v>50</v>
      </c>
      <c r="D16" s="3" t="s">
        <v>51</v>
      </c>
      <c r="E16" s="5">
        <f t="shared" ca="1" si="0"/>
        <v>83</v>
      </c>
    </row>
    <row r="17" spans="1:5" x14ac:dyDescent="0.3">
      <c r="A17" s="3" t="s">
        <v>52</v>
      </c>
      <c r="B17" s="4" t="s">
        <v>52</v>
      </c>
      <c r="C17" s="3" t="s">
        <v>53</v>
      </c>
      <c r="D17" s="3" t="s">
        <v>54</v>
      </c>
      <c r="E17" s="5">
        <f t="shared" ca="1" si="0"/>
        <v>0</v>
      </c>
    </row>
    <row r="18" spans="1:5" x14ac:dyDescent="0.3">
      <c r="A18" s="3" t="s">
        <v>55</v>
      </c>
      <c r="B18" s="4" t="s">
        <v>55</v>
      </c>
      <c r="C18" s="3" t="s">
        <v>56</v>
      </c>
      <c r="D18" s="3" t="s">
        <v>57</v>
      </c>
      <c r="E18" s="5">
        <f t="shared" ca="1" si="0"/>
        <v>3</v>
      </c>
    </row>
    <row r="19" spans="1:5" x14ac:dyDescent="0.3">
      <c r="A19" s="3" t="s">
        <v>58</v>
      </c>
      <c r="B19" s="4" t="s">
        <v>58</v>
      </c>
      <c r="C19" s="3" t="s">
        <v>59</v>
      </c>
      <c r="D19" s="3" t="s">
        <v>60</v>
      </c>
      <c r="E19" s="5">
        <f t="shared" ca="1" si="0"/>
        <v>0</v>
      </c>
    </row>
    <row r="20" spans="1:5" x14ac:dyDescent="0.3">
      <c r="A20" s="3" t="s">
        <v>61</v>
      </c>
      <c r="B20" s="4" t="s">
        <v>61</v>
      </c>
      <c r="C20" s="3" t="s">
        <v>62</v>
      </c>
      <c r="D20" s="3" t="s">
        <v>63</v>
      </c>
      <c r="E20" s="5">
        <f t="shared" ca="1" si="0"/>
        <v>0</v>
      </c>
    </row>
    <row r="21" spans="1:5" x14ac:dyDescent="0.3">
      <c r="A21" s="3" t="s">
        <v>64</v>
      </c>
      <c r="B21" s="4" t="s">
        <v>64</v>
      </c>
      <c r="C21" s="3" t="s">
        <v>65</v>
      </c>
      <c r="D21" s="3" t="s">
        <v>66</v>
      </c>
      <c r="E21" s="5">
        <f t="shared" ca="1" si="0"/>
        <v>3</v>
      </c>
    </row>
    <row r="22" spans="1:5" x14ac:dyDescent="0.3">
      <c r="A22" s="3" t="s">
        <v>67</v>
      </c>
      <c r="B22" s="4" t="s">
        <v>67</v>
      </c>
      <c r="C22" s="3" t="s">
        <v>68</v>
      </c>
      <c r="D22" s="3" t="s">
        <v>69</v>
      </c>
      <c r="E22" s="5">
        <f t="shared" ca="1" si="0"/>
        <v>7</v>
      </c>
    </row>
  </sheetData>
  <autoFilter ref="A1:E22" xr:uid="{00000000-0009-0000-0000-000000000000}"/>
  <hyperlinks>
    <hyperlink ref="B2" location="ANA!A1" display="ANA" xr:uid="{00000000-0004-0000-0000-000000000000}"/>
    <hyperlink ref="B3" location="CAP!A1" display="CAP" xr:uid="{00000000-0004-0000-0000-000001000000}"/>
    <hyperlink ref="B4" location="CNT!A1" display="CNT" xr:uid="{00000000-0004-0000-0000-000002000000}"/>
    <hyperlink ref="B5" location="CPD!A1" display="CPD" xr:uid="{00000000-0004-0000-0000-000003000000}"/>
    <hyperlink ref="B6" location="DIO!A1" display="DIO" xr:uid="{00000000-0004-0000-0000-000004000000}"/>
    <hyperlink ref="B7" location="FAB!A1" display="FAB" xr:uid="{00000000-0004-0000-0000-000005000000}"/>
    <hyperlink ref="B8" location="ICS!A1" display="ICS" xr:uid="{00000000-0004-0000-0000-000006000000}"/>
    <hyperlink ref="B9" location="IND!A1" display="IND" xr:uid="{00000000-0004-0000-0000-000007000000}"/>
    <hyperlink ref="B10" location="MCU!A1" display="MCU" xr:uid="{00000000-0004-0000-0000-000008000000}"/>
    <hyperlink ref="B11" location="MEC!A1" display="MEC" xr:uid="{00000000-0004-0000-0000-000009000000}"/>
    <hyperlink ref="B12" location="MRK!A1" display="MRK" xr:uid="{00000000-0004-0000-0000-00000A000000}"/>
    <hyperlink ref="B13" location="OPT!A1" display="OPT" xr:uid="{00000000-0004-0000-0000-00000B000000}"/>
    <hyperlink ref="B14" location="OSC!A1" display="OSC" xr:uid="{00000000-0004-0000-0000-00000C000000}"/>
    <hyperlink ref="B15" location="REG!A1" display="REG" xr:uid="{00000000-0004-0000-0000-00000D000000}"/>
    <hyperlink ref="B16" location="RES!A1" display="RES" xr:uid="{00000000-0004-0000-0000-00000E000000}"/>
    <hyperlink ref="B17" location="RFM!A1" display="RFM" xr:uid="{00000000-0004-0000-0000-00000F000000}"/>
    <hyperlink ref="B18" location="RLY!A1" display="RLY" xr:uid="{00000000-0004-0000-0000-000010000000}"/>
    <hyperlink ref="B19" location="SEN!A1" display="SEN" xr:uid="{00000000-0004-0000-0000-000011000000}"/>
    <hyperlink ref="B20" location="SOC!A1" display="SOC" xr:uid="{00000000-0004-0000-0000-000012000000}"/>
    <hyperlink ref="B21" location="SWI!A1" display="SWI" xr:uid="{00000000-0004-0000-0000-000013000000}"/>
    <hyperlink ref="B22" location="TRN!A1" display="TRN" xr:uid="{00000000-0004-0000-0000-00001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9"/>
  <sheetViews>
    <sheetView zoomScale="85" zoomScaleNormal="85" workbookViewId="0">
      <selection activeCell="F17" sqref="F17"/>
    </sheetView>
  </sheetViews>
  <sheetFormatPr defaultColWidth="8.6640625" defaultRowHeight="14.4" x14ac:dyDescent="0.3"/>
  <cols>
    <col min="1" max="1" width="14" customWidth="1"/>
    <col min="2" max="2" width="35" customWidth="1"/>
    <col min="3" max="3" width="24.5546875" style="7" customWidth="1"/>
    <col min="4" max="4" width="18.21875" style="7" customWidth="1"/>
    <col min="5" max="5" width="20.109375" customWidth="1"/>
    <col min="6" max="6" width="10.109375" customWidth="1"/>
    <col min="7" max="7" width="23.88671875" customWidth="1"/>
    <col min="8" max="8" width="29" customWidth="1"/>
    <col min="9" max="9" width="45" customWidth="1"/>
    <col min="10" max="10" width="15.77734375" style="8" customWidth="1"/>
    <col min="11" max="13" width="15.77734375" customWidth="1"/>
    <col min="14" max="14" width="15.77734375" style="9" customWidth="1"/>
    <col min="15" max="15" width="15.77734375" style="8" customWidth="1"/>
    <col min="16" max="18" width="15.77734375" customWidth="1"/>
    <col min="19" max="19" width="15.77734375" style="9" customWidth="1"/>
    <col min="20" max="24" width="15.77734375" customWidth="1"/>
    <col min="25" max="25" width="15.77734375" style="8" customWidth="1"/>
    <col min="26" max="28" width="15.77734375" customWidth="1"/>
    <col min="29" max="29" width="15.77734375" style="9" customWidth="1"/>
    <col min="30" max="30" width="10.77734375" style="10" customWidth="1"/>
  </cols>
  <sheetData>
    <row r="1" spans="1:30" ht="27.75" customHeight="1" x14ac:dyDescent="0.3">
      <c r="A1" s="11" t="s">
        <v>70</v>
      </c>
      <c r="B1" s="11" t="s">
        <v>3</v>
      </c>
      <c r="C1" s="12" t="s">
        <v>71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3" t="s">
        <v>78</v>
      </c>
      <c r="K1" s="14" t="s">
        <v>79</v>
      </c>
      <c r="L1" s="14" t="s">
        <v>80</v>
      </c>
      <c r="M1" s="15" t="s">
        <v>81</v>
      </c>
      <c r="N1" s="16" t="s">
        <v>82</v>
      </c>
      <c r="O1" s="13" t="s">
        <v>83</v>
      </c>
      <c r="P1" s="14" t="s">
        <v>84</v>
      </c>
      <c r="Q1" s="14" t="s">
        <v>85</v>
      </c>
      <c r="R1" s="15" t="s">
        <v>86</v>
      </c>
      <c r="S1" s="16" t="s">
        <v>87</v>
      </c>
      <c r="T1" s="11" t="s">
        <v>88</v>
      </c>
      <c r="U1" s="11" t="s">
        <v>89</v>
      </c>
      <c r="V1" s="11" t="s">
        <v>90</v>
      </c>
      <c r="W1" s="15" t="s">
        <v>91</v>
      </c>
      <c r="X1" s="11" t="s">
        <v>92</v>
      </c>
      <c r="Y1" s="13" t="s">
        <v>93</v>
      </c>
      <c r="Z1" s="14" t="s">
        <v>94</v>
      </c>
      <c r="AA1" s="14" t="s">
        <v>95</v>
      </c>
      <c r="AB1" s="15" t="s">
        <v>96</v>
      </c>
      <c r="AC1" s="16" t="s">
        <v>97</v>
      </c>
      <c r="AD1" s="17" t="s">
        <v>98</v>
      </c>
    </row>
    <row r="2" spans="1:30" x14ac:dyDescent="0.3">
      <c r="A2" s="3" t="s">
        <v>99</v>
      </c>
      <c r="B2" s="18" t="s">
        <v>100</v>
      </c>
      <c r="C2" s="5" t="b">
        <f>OR(AND(M2=_enum!$AN$3,OR(N2=_enum!$AH$7,N2=_enum!$AH$3)),AND(R2=_enum!$AN$3,OR(S2=_enum!$AH$7,S2=_enum!$AH$3)),AND(W2=_enum!$AN$3,OR(X2=_enum!$AH$7,X2=_enum!$AH$3)), AND(AB2=_enum!$AN$3,OR(AC2=_enum!$AH$7,AC2=_enum!$AH$3)))</f>
        <v>0</v>
      </c>
      <c r="D2" s="5" t="str">
        <f t="shared" ref="D2:D29" si="0">SUBSTITUTE(A2,"-","")</f>
        <v>ANA1010000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19" t="s">
        <v>106</v>
      </c>
      <c r="K2" s="3" t="s">
        <v>107</v>
      </c>
      <c r="L2" s="18" t="s">
        <v>108</v>
      </c>
      <c r="M2" s="3" t="s">
        <v>109</v>
      </c>
      <c r="N2" s="20" t="s">
        <v>110</v>
      </c>
      <c r="O2" s="19"/>
      <c r="P2" s="3"/>
      <c r="Q2" s="3"/>
      <c r="R2" s="3"/>
      <c r="S2" s="20"/>
      <c r="T2" s="3"/>
      <c r="U2" s="3"/>
      <c r="V2" s="3"/>
      <c r="W2" s="3"/>
      <c r="X2" s="3"/>
      <c r="Y2" s="19"/>
      <c r="Z2" s="3"/>
      <c r="AA2" s="3"/>
      <c r="AB2" s="3"/>
      <c r="AC2" s="20"/>
      <c r="AD2" s="21"/>
    </row>
    <row r="3" spans="1:30" x14ac:dyDescent="0.3">
      <c r="C3" s="5"/>
      <c r="D3" s="5" t="str">
        <f t="shared" si="0"/>
        <v/>
      </c>
      <c r="M3" s="3"/>
      <c r="R3" s="3"/>
      <c r="W3" s="3"/>
      <c r="AB3" s="3"/>
    </row>
    <row r="4" spans="1:30" x14ac:dyDescent="0.3">
      <c r="C4" s="5"/>
      <c r="D4" s="5" t="str">
        <f t="shared" si="0"/>
        <v/>
      </c>
      <c r="M4" s="3"/>
      <c r="R4" s="3"/>
      <c r="W4" s="3"/>
      <c r="AB4" s="3"/>
    </row>
    <row r="5" spans="1:30" x14ac:dyDescent="0.3">
      <c r="C5" s="5"/>
      <c r="D5" s="5" t="str">
        <f t="shared" si="0"/>
        <v/>
      </c>
      <c r="M5" s="3"/>
      <c r="R5" s="3"/>
      <c r="W5" s="3"/>
      <c r="AB5" s="3"/>
    </row>
    <row r="6" spans="1:30" x14ac:dyDescent="0.3">
      <c r="C6" s="5"/>
      <c r="D6" s="5" t="str">
        <f t="shared" si="0"/>
        <v/>
      </c>
      <c r="M6" s="3"/>
      <c r="R6" s="3"/>
      <c r="W6" s="3"/>
      <c r="AB6" s="3"/>
    </row>
    <row r="7" spans="1:30" x14ac:dyDescent="0.3">
      <c r="C7" s="5"/>
      <c r="D7" s="5" t="str">
        <f t="shared" si="0"/>
        <v/>
      </c>
      <c r="M7" s="3"/>
      <c r="R7" s="3"/>
      <c r="W7" s="3"/>
      <c r="AB7" s="3"/>
    </row>
    <row r="8" spans="1:30" x14ac:dyDescent="0.3">
      <c r="C8" s="5"/>
      <c r="D8" s="5" t="str">
        <f t="shared" si="0"/>
        <v/>
      </c>
      <c r="M8" s="3"/>
      <c r="R8" s="3"/>
      <c r="W8" s="3"/>
      <c r="AB8" s="3"/>
    </row>
    <row r="9" spans="1:30" x14ac:dyDescent="0.3">
      <c r="C9" s="5"/>
      <c r="D9" s="5" t="str">
        <f t="shared" si="0"/>
        <v/>
      </c>
      <c r="M9" s="3"/>
      <c r="R9" s="3"/>
      <c r="W9" s="3"/>
      <c r="AB9" s="3"/>
    </row>
    <row r="10" spans="1:30" x14ac:dyDescent="0.3">
      <c r="C10" s="5"/>
      <c r="D10" s="5" t="str">
        <f t="shared" si="0"/>
        <v/>
      </c>
      <c r="M10" s="3"/>
      <c r="R10" s="3"/>
      <c r="W10" s="3"/>
      <c r="AB10" s="3"/>
    </row>
    <row r="11" spans="1:30" x14ac:dyDescent="0.3">
      <c r="C11" s="5"/>
      <c r="D11" s="5" t="str">
        <f t="shared" si="0"/>
        <v/>
      </c>
      <c r="M11" s="3"/>
      <c r="R11" s="3"/>
      <c r="W11" s="3"/>
      <c r="AB11" s="3"/>
    </row>
    <row r="12" spans="1:30" x14ac:dyDescent="0.3">
      <c r="C12" s="5"/>
      <c r="D12" s="5" t="str">
        <f t="shared" si="0"/>
        <v/>
      </c>
      <c r="M12" s="3"/>
      <c r="R12" s="3"/>
      <c r="W12" s="3"/>
      <c r="AB12" s="3"/>
    </row>
    <row r="13" spans="1:30" x14ac:dyDescent="0.3">
      <c r="C13" s="5"/>
      <c r="D13" s="5" t="str">
        <f t="shared" si="0"/>
        <v/>
      </c>
      <c r="M13" s="3"/>
      <c r="R13" s="3"/>
      <c r="W13" s="3"/>
      <c r="AB13" s="3"/>
    </row>
    <row r="14" spans="1:30" x14ac:dyDescent="0.3">
      <c r="C14" s="5"/>
      <c r="D14" s="5" t="str">
        <f t="shared" si="0"/>
        <v/>
      </c>
      <c r="M14" s="3"/>
      <c r="R14" s="3"/>
      <c r="W14" s="3"/>
      <c r="AB14" s="3"/>
    </row>
    <row r="15" spans="1:30" x14ac:dyDescent="0.3">
      <c r="C15" s="5"/>
      <c r="D15" s="5" t="str">
        <f t="shared" si="0"/>
        <v/>
      </c>
      <c r="M15" s="3"/>
      <c r="R15" s="3"/>
      <c r="W15" s="3"/>
      <c r="AB15" s="3"/>
    </row>
    <row r="16" spans="1:30" x14ac:dyDescent="0.3">
      <c r="C16" s="5"/>
      <c r="D16" s="5" t="str">
        <f t="shared" si="0"/>
        <v/>
      </c>
      <c r="M16" s="3"/>
      <c r="R16" s="3"/>
      <c r="W16" s="3"/>
      <c r="AB16" s="3"/>
    </row>
    <row r="17" spans="3:28" x14ac:dyDescent="0.3">
      <c r="C17" s="5"/>
      <c r="D17" s="5" t="str">
        <f t="shared" si="0"/>
        <v/>
      </c>
      <c r="M17" s="3"/>
      <c r="R17" s="3"/>
      <c r="W17" s="3"/>
      <c r="AB17" s="3"/>
    </row>
    <row r="18" spans="3:28" x14ac:dyDescent="0.3">
      <c r="C18" s="5"/>
      <c r="D18" s="5" t="str">
        <f t="shared" si="0"/>
        <v/>
      </c>
      <c r="M18" s="3"/>
      <c r="R18" s="3"/>
      <c r="W18" s="3"/>
      <c r="AB18" s="3"/>
    </row>
    <row r="19" spans="3:28" x14ac:dyDescent="0.3">
      <c r="C19" s="5"/>
      <c r="D19" s="5" t="str">
        <f t="shared" si="0"/>
        <v/>
      </c>
      <c r="M19" s="3"/>
      <c r="R19" s="3"/>
      <c r="W19" s="3"/>
      <c r="AB19" s="3"/>
    </row>
    <row r="20" spans="3:28" x14ac:dyDescent="0.3">
      <c r="C20" s="5"/>
      <c r="D20" s="5" t="str">
        <f t="shared" si="0"/>
        <v/>
      </c>
      <c r="M20" s="3"/>
      <c r="R20" s="3"/>
      <c r="W20" s="3"/>
      <c r="AB20" s="3"/>
    </row>
    <row r="21" spans="3:28" x14ac:dyDescent="0.3">
      <c r="C21" s="5"/>
      <c r="D21" s="5" t="str">
        <f t="shared" si="0"/>
        <v/>
      </c>
      <c r="M21" s="3"/>
      <c r="R21" s="3"/>
      <c r="W21" s="3"/>
      <c r="AB21" s="3"/>
    </row>
    <row r="22" spans="3:28" x14ac:dyDescent="0.3">
      <c r="C22" s="5"/>
      <c r="D22" s="5" t="str">
        <f t="shared" si="0"/>
        <v/>
      </c>
      <c r="M22" s="3"/>
      <c r="R22" s="3"/>
      <c r="W22" s="3"/>
      <c r="AB22" s="3"/>
    </row>
    <row r="23" spans="3:28" x14ac:dyDescent="0.3">
      <c r="C23" s="5"/>
      <c r="D23" s="5" t="str">
        <f t="shared" si="0"/>
        <v/>
      </c>
      <c r="M23" s="3"/>
      <c r="R23" s="3"/>
      <c r="W23" s="3"/>
      <c r="AB23" s="3"/>
    </row>
    <row r="24" spans="3:28" x14ac:dyDescent="0.3">
      <c r="C24" s="5"/>
      <c r="D24" s="5" t="str">
        <f t="shared" si="0"/>
        <v/>
      </c>
      <c r="M24" s="3"/>
      <c r="R24" s="3"/>
      <c r="W24" s="3"/>
      <c r="AB24" s="3"/>
    </row>
    <row r="25" spans="3:28" x14ac:dyDescent="0.3">
      <c r="C25" s="5"/>
      <c r="D25" s="5" t="str">
        <f t="shared" si="0"/>
        <v/>
      </c>
      <c r="M25" s="3"/>
      <c r="R25" s="3"/>
      <c r="W25" s="3"/>
      <c r="AB25" s="3"/>
    </row>
    <row r="26" spans="3:28" x14ac:dyDescent="0.3">
      <c r="C26" s="5"/>
      <c r="D26" s="5" t="str">
        <f t="shared" si="0"/>
        <v/>
      </c>
    </row>
    <row r="27" spans="3:28" x14ac:dyDescent="0.3">
      <c r="D27" s="5" t="str">
        <f t="shared" si="0"/>
        <v/>
      </c>
    </row>
    <row r="28" spans="3:28" x14ac:dyDescent="0.3">
      <c r="D28" s="5" t="str">
        <f t="shared" si="0"/>
        <v/>
      </c>
    </row>
    <row r="29" spans="3:28" x14ac:dyDescent="0.3">
      <c r="D29" s="5" t="str">
        <f t="shared" si="0"/>
        <v/>
      </c>
    </row>
  </sheetData>
  <dataValidations count="5">
    <dataValidation type="list" allowBlank="1" sqref="E2:E1000" xr:uid="{00000000-0002-0000-0100-000000000000}">
      <formula1>enum_package</formula1>
      <formula2>0</formula2>
    </dataValidation>
    <dataValidation type="list" allowBlank="1" sqref="F2:F1000" xr:uid="{00000000-0002-0000-0100-000001000000}">
      <formula1>enum_ana_techno</formula1>
      <formula2>0</formula2>
    </dataValidation>
    <dataValidation type="list" allowBlank="1" sqref="J2:J1000 O2:O1000 T2:T1000 Y2:Y1000" xr:uid="{00000000-0002-0000-0100-000002000000}">
      <formula1>enum_mfn</formula1>
      <formula2>0</formula2>
    </dataValidation>
    <dataValidation type="list" allowBlank="1" sqref="N2:N1000 S2:S1000 X2:X1000 AC2:AC1000" xr:uid="{00000000-0002-0000-0100-000003000000}">
      <formula1>enum_status</formula1>
      <formula2>0</formula2>
    </dataValidation>
    <dataValidation type="list" allowBlank="1" sqref="M2:M1000 R2:R1000 W2:W1000 AB2:AB1000" xr:uid="{00000000-0002-0000-0100-000004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7"/>
  <sheetViews>
    <sheetView tabSelected="1" zoomScale="85" zoomScaleNormal="85" workbookViewId="0">
      <selection activeCell="J23" sqref="J23"/>
    </sheetView>
  </sheetViews>
  <sheetFormatPr defaultColWidth="8.6640625" defaultRowHeight="14.4" x14ac:dyDescent="0.3"/>
  <cols>
    <col min="1" max="1" width="17.44140625" style="22" customWidth="1"/>
    <col min="2" max="2" width="40" style="22" customWidth="1"/>
    <col min="3" max="3" width="24.5546875" style="23" customWidth="1"/>
    <col min="4" max="4" width="10" style="22" customWidth="1"/>
    <col min="5" max="5" width="20.88671875" style="23" customWidth="1"/>
    <col min="6" max="6" width="20" style="22" customWidth="1"/>
    <col min="7" max="7" width="10" style="22" customWidth="1"/>
    <col min="8" max="8" width="12" style="22" customWidth="1"/>
    <col min="9" max="9" width="15" style="22" customWidth="1"/>
    <col min="10" max="10" width="19" style="22" customWidth="1"/>
    <col min="11" max="12" width="20" style="22" customWidth="1"/>
    <col min="13" max="13" width="16.109375" style="22" customWidth="1"/>
    <col min="14" max="14" width="15.77734375" style="24" customWidth="1"/>
    <col min="15" max="17" width="15.77734375" style="22" customWidth="1"/>
    <col min="18" max="18" width="15.77734375" style="25" customWidth="1"/>
    <col min="19" max="22" width="15.77734375" style="22" customWidth="1"/>
    <col min="23" max="23" width="15.77734375" style="25" customWidth="1"/>
    <col min="24" max="24" width="15.77734375" style="24" customWidth="1"/>
    <col min="25" max="27" width="15.77734375" style="22" customWidth="1"/>
    <col min="28" max="28" width="15.77734375" style="25" customWidth="1"/>
    <col min="29" max="29" width="15.77734375" style="24" customWidth="1"/>
    <col min="30" max="32" width="15.77734375" style="22" customWidth="1"/>
    <col min="33" max="33" width="15.77734375" style="25" customWidth="1"/>
    <col min="34" max="34" width="45" style="26" customWidth="1"/>
    <col min="35" max="16384" width="8.6640625" style="22"/>
  </cols>
  <sheetData>
    <row r="1" spans="1:34" s="27" customFormat="1" ht="27.75" customHeight="1" x14ac:dyDescent="0.3">
      <c r="A1" s="11" t="s">
        <v>70</v>
      </c>
      <c r="B1" s="11" t="s">
        <v>3</v>
      </c>
      <c r="C1" s="12" t="s">
        <v>71</v>
      </c>
      <c r="D1" s="11" t="s">
        <v>72</v>
      </c>
      <c r="E1" s="11" t="s">
        <v>111</v>
      </c>
      <c r="F1" s="11" t="s">
        <v>112</v>
      </c>
      <c r="G1" s="11" t="s">
        <v>74</v>
      </c>
      <c r="H1" s="11" t="s">
        <v>113</v>
      </c>
      <c r="I1" s="11" t="s">
        <v>114</v>
      </c>
      <c r="J1" s="11" t="s">
        <v>73</v>
      </c>
      <c r="K1" s="11" t="s">
        <v>75</v>
      </c>
      <c r="L1" s="11" t="s">
        <v>76</v>
      </c>
      <c r="M1" s="11" t="s">
        <v>77</v>
      </c>
      <c r="N1" s="13" t="s">
        <v>78</v>
      </c>
      <c r="O1" s="14" t="s">
        <v>79</v>
      </c>
      <c r="P1" s="14" t="s">
        <v>80</v>
      </c>
      <c r="Q1" s="14" t="s">
        <v>81</v>
      </c>
      <c r="R1" s="16" t="s">
        <v>82</v>
      </c>
      <c r="S1" s="14" t="s">
        <v>83</v>
      </c>
      <c r="T1" s="14" t="s">
        <v>84</v>
      </c>
      <c r="U1" s="14" t="s">
        <v>85</v>
      </c>
      <c r="V1" s="14" t="s">
        <v>86</v>
      </c>
      <c r="W1" s="16" t="s">
        <v>87</v>
      </c>
      <c r="X1" s="13" t="s">
        <v>88</v>
      </c>
      <c r="Y1" s="14" t="s">
        <v>89</v>
      </c>
      <c r="Z1" s="14" t="s">
        <v>90</v>
      </c>
      <c r="AA1" s="14" t="s">
        <v>91</v>
      </c>
      <c r="AB1" s="16" t="s">
        <v>92</v>
      </c>
      <c r="AC1" s="13" t="s">
        <v>93</v>
      </c>
      <c r="AD1" s="14" t="s">
        <v>94</v>
      </c>
      <c r="AE1" s="14" t="s">
        <v>95</v>
      </c>
      <c r="AF1" s="14" t="s">
        <v>96</v>
      </c>
      <c r="AG1" s="16" t="s">
        <v>97</v>
      </c>
      <c r="AH1" s="17" t="s">
        <v>98</v>
      </c>
    </row>
    <row r="2" spans="1:34" x14ac:dyDescent="0.3">
      <c r="A2" s="28" t="s">
        <v>115</v>
      </c>
      <c r="B2" s="22" t="str">
        <f t="shared" ref="B2:B24" si="0">_xlfn.CONCAT("Cap ",G2," ",D2,"F ",F2," ",H2," ",J2,IF(C2," - BASIC",""))</f>
        <v>Cap Cer 100nF 50V X7R 0603 - BASIC</v>
      </c>
      <c r="C2" s="29" t="b">
        <f>OR(AND(Q2=_enum!$AN$3,OR(R2=_enum!$AH$7,R2=_enum!$AH$3)),AND(V2=_enum!$AN$3,OR(W2=_enum!$AH$7,W2=_enum!$AH$3)),AND(AA2=_enum!$AN$3,OR(AB2=_enum!$AH$7,AB2=_enum!$AH$3)), AND(AF2=_enum!$AN$3,OR(AG2=_enum!$AH$7,AG2=_enum!$AH$3)))</f>
        <v>1</v>
      </c>
      <c r="D2" s="28" t="s">
        <v>116</v>
      </c>
      <c r="E2" s="29">
        <f t="array" ref="E2">IF(OR(D2="",D2="TBD"),"",
_xlfn.LET(
_xlpm.s,LOWER(TRIM(D2)),
_xlpm.num,VALUE(LEFT(_xlpm.s,LEN(_xlpm.s)-1)),
_xlpm.unit,RIGHT(_xlpm.s,1),
_xlfn.SWITCH(_xlpm.unit,
"p",_xlpm.num/1000,
"n",_xlpm.num,
"u",_xlpm.num*1000,
D2)
))</f>
        <v>100</v>
      </c>
      <c r="F2" s="28" t="s">
        <v>117</v>
      </c>
      <c r="G2" s="28" t="s">
        <v>118</v>
      </c>
      <c r="H2" s="28" t="s">
        <v>119</v>
      </c>
      <c r="I2" s="28">
        <v>10</v>
      </c>
      <c r="J2" s="28" t="s">
        <v>120</v>
      </c>
      <c r="K2" s="28" t="s">
        <v>121</v>
      </c>
      <c r="L2" s="28" t="s">
        <v>122</v>
      </c>
      <c r="M2" s="28" t="s">
        <v>123</v>
      </c>
      <c r="N2" s="30" t="s">
        <v>124</v>
      </c>
      <c r="O2" s="28" t="s">
        <v>125</v>
      </c>
      <c r="P2" s="28" t="s">
        <v>126</v>
      </c>
      <c r="Q2" s="28" t="s">
        <v>109</v>
      </c>
      <c r="R2" s="31" t="s">
        <v>127</v>
      </c>
      <c r="S2" s="28"/>
      <c r="T2" s="28"/>
      <c r="U2" s="28"/>
      <c r="V2" s="28"/>
      <c r="W2" s="31"/>
      <c r="X2" s="30"/>
      <c r="Y2" s="28"/>
      <c r="Z2" s="28"/>
      <c r="AA2" s="28"/>
      <c r="AB2" s="31"/>
      <c r="AC2" s="30"/>
      <c r="AD2" s="28"/>
      <c r="AE2" s="28"/>
      <c r="AF2" s="28"/>
      <c r="AG2" s="31"/>
      <c r="AH2" s="32"/>
    </row>
    <row r="3" spans="1:34" x14ac:dyDescent="0.3">
      <c r="A3" s="28" t="s">
        <v>128</v>
      </c>
      <c r="B3" s="22" t="str">
        <f t="shared" si="0"/>
        <v>Cap Cer 10nF 50V X7R 0402 - BASIC</v>
      </c>
      <c r="C3" s="29" t="b">
        <f>OR(AND(Q3=_enum!$AN$3,OR(R3=_enum!$AH$7,R3=_enum!$AH$3)),AND(V3=_enum!$AN$3,OR(W3=_enum!$AH$7,W3=_enum!$AH$3)),AND(AA3=_enum!$AN$3,OR(AB3=_enum!$AH$7,AB3=_enum!$AH$3)), AND(AF3=_enum!$AN$3,OR(AG3=_enum!$AH$7,AG3=_enum!$AH$3)))</f>
        <v>1</v>
      </c>
      <c r="D3" s="28" t="s">
        <v>129</v>
      </c>
      <c r="E3" s="29">
        <f t="array" ref="E3">IF(OR(D3="",D3="TBD"),"",
_xlfn.LET(
_xlpm.s,LOWER(TRIM(D3)),
_xlpm.num,VALUE(LEFT(_xlpm.s,LEN(_xlpm.s)-1)),
_xlpm.unit,RIGHT(_xlpm.s,1),
_xlfn.SWITCH(_xlpm.unit,
"p",_xlpm.num/1000,
"n",_xlpm.num,
"u",_xlpm.num*1000,
D3)
))</f>
        <v>10</v>
      </c>
      <c r="F3" s="28" t="s">
        <v>117</v>
      </c>
      <c r="G3" s="28" t="s">
        <v>118</v>
      </c>
      <c r="H3" s="28" t="s">
        <v>119</v>
      </c>
      <c r="I3" s="28">
        <v>10</v>
      </c>
      <c r="J3" s="28" t="s">
        <v>130</v>
      </c>
      <c r="K3" s="28" t="s">
        <v>121</v>
      </c>
      <c r="L3" s="28" t="s">
        <v>131</v>
      </c>
      <c r="M3" s="28" t="s">
        <v>123</v>
      </c>
      <c r="N3" s="30" t="s">
        <v>124</v>
      </c>
      <c r="O3" s="28" t="s">
        <v>132</v>
      </c>
      <c r="P3" s="28" t="s">
        <v>133</v>
      </c>
      <c r="Q3" s="28" t="s">
        <v>109</v>
      </c>
      <c r="R3" s="31" t="s">
        <v>127</v>
      </c>
      <c r="S3" s="28"/>
      <c r="T3" s="28"/>
      <c r="U3" s="28"/>
      <c r="V3" s="28"/>
      <c r="W3" s="31"/>
      <c r="X3" s="30"/>
      <c r="Y3" s="28"/>
      <c r="Z3" s="28"/>
      <c r="AA3" s="28"/>
      <c r="AB3" s="31"/>
      <c r="AC3" s="30"/>
      <c r="AD3" s="28"/>
      <c r="AE3" s="28"/>
      <c r="AF3" s="28"/>
      <c r="AG3" s="31"/>
      <c r="AH3" s="32"/>
    </row>
    <row r="4" spans="1:34" x14ac:dyDescent="0.3">
      <c r="A4" s="28" t="s">
        <v>134</v>
      </c>
      <c r="B4" s="22" t="str">
        <f t="shared" si="0"/>
        <v>Cap Cer 100nF 50V X7R 0402 - BASIC</v>
      </c>
      <c r="C4" s="29" t="b">
        <f>OR(AND(Q4=_enum!$AN$3,OR(R4=_enum!$AH$7,R4=_enum!$AH$3)),AND(V4=_enum!$AN$3,OR(W4=_enum!$AH$7,W4=_enum!$AH$3)),AND(AA4=_enum!$AN$3,OR(AB4=_enum!$AH$7,AB4=_enum!$AH$3)), AND(AF4=_enum!$AN$3,OR(AG4=_enum!$AH$7,AG4=_enum!$AH$3)))</f>
        <v>1</v>
      </c>
      <c r="D4" s="28" t="s">
        <v>116</v>
      </c>
      <c r="E4" s="29">
        <f t="array" ref="E4">IF(OR(D4="",D4="TBD"),"",
_xlfn.LET(
_xlpm.s,LOWER(TRIM(D4)),
_xlpm.num,VALUE(LEFT(_xlpm.s,LEN(_xlpm.s)-1)),
_xlpm.unit,RIGHT(_xlpm.s,1),
_xlfn.SWITCH(_xlpm.unit,
"p",_xlpm.num/1000,
"n",_xlpm.num,
"u",_xlpm.num*1000,
D4)
))</f>
        <v>100</v>
      </c>
      <c r="F4" s="28" t="s">
        <v>117</v>
      </c>
      <c r="G4" s="28" t="s">
        <v>118</v>
      </c>
      <c r="H4" s="28" t="s">
        <v>119</v>
      </c>
      <c r="I4" s="28">
        <v>10</v>
      </c>
      <c r="J4" s="28" t="s">
        <v>130</v>
      </c>
      <c r="K4" s="28" t="s">
        <v>121</v>
      </c>
      <c r="L4" s="28" t="s">
        <v>131</v>
      </c>
      <c r="M4" s="28" t="s">
        <v>123</v>
      </c>
      <c r="N4" s="30" t="s">
        <v>124</v>
      </c>
      <c r="O4" s="28" t="s">
        <v>135</v>
      </c>
      <c r="P4" s="28" t="s">
        <v>136</v>
      </c>
      <c r="Q4" s="28" t="s">
        <v>109</v>
      </c>
      <c r="R4" s="31" t="s">
        <v>127</v>
      </c>
      <c r="S4" s="28"/>
      <c r="T4" s="28"/>
      <c r="U4" s="28"/>
      <c r="V4" s="28"/>
      <c r="W4" s="31"/>
      <c r="X4" s="30"/>
      <c r="Y4" s="28"/>
      <c r="Z4" s="28"/>
      <c r="AA4" s="28"/>
      <c r="AB4" s="31"/>
      <c r="AC4" s="30"/>
      <c r="AD4" s="28"/>
      <c r="AE4" s="28"/>
      <c r="AF4" s="28"/>
      <c r="AG4" s="31"/>
      <c r="AH4" s="32"/>
    </row>
    <row r="5" spans="1:34" x14ac:dyDescent="0.3">
      <c r="A5" s="28" t="s">
        <v>137</v>
      </c>
      <c r="B5" s="22" t="str">
        <f t="shared" si="0"/>
        <v>Cap Cer 10pF 50V C0G/NP0 0402 - BASIC</v>
      </c>
      <c r="C5" s="29" t="b">
        <f>OR(AND(Q5=_enum!$AN$3,OR(R5=_enum!$AH$7,R5=_enum!$AH$3)),AND(V5=_enum!$AN$3,OR(W5=_enum!$AH$7,W5=_enum!$AH$3)),AND(AA5=_enum!$AN$3,OR(AB5=_enum!$AH$7,AB5=_enum!$AH$3)), AND(AF5=_enum!$AN$3,OR(AG5=_enum!$AH$7,AG5=_enum!$AH$3)))</f>
        <v>1</v>
      </c>
      <c r="D5" s="28" t="s">
        <v>138</v>
      </c>
      <c r="E5" s="29">
        <f t="array" ref="E5">IF(OR(D5="",D5="TBD"),"",
_xlfn.LET(
_xlpm.s,LOWER(TRIM(D5)),
_xlpm.num,VALUE(LEFT(_xlpm.s,LEN(_xlpm.s)-1)),
_xlpm.unit,RIGHT(_xlpm.s,1),
_xlfn.SWITCH(_xlpm.unit,
"p",_xlpm.num/1000,
"n",_xlpm.num,
"u",_xlpm.num*1000,
D5)
))</f>
        <v>0.01</v>
      </c>
      <c r="F5" s="28" t="s">
        <v>117</v>
      </c>
      <c r="G5" s="28" t="s">
        <v>118</v>
      </c>
      <c r="H5" s="28" t="s">
        <v>139</v>
      </c>
      <c r="I5" s="28">
        <v>5</v>
      </c>
      <c r="J5" s="28" t="s">
        <v>130</v>
      </c>
      <c r="K5" s="28" t="s">
        <v>121</v>
      </c>
      <c r="L5" s="28" t="s">
        <v>131</v>
      </c>
      <c r="M5" s="28" t="s">
        <v>123</v>
      </c>
      <c r="N5" s="30" t="s">
        <v>124</v>
      </c>
      <c r="O5" s="28" t="s">
        <v>140</v>
      </c>
      <c r="P5" s="28" t="s">
        <v>141</v>
      </c>
      <c r="Q5" s="28" t="s">
        <v>109</v>
      </c>
      <c r="R5" s="31" t="s">
        <v>127</v>
      </c>
      <c r="S5" s="28"/>
      <c r="T5" s="28"/>
      <c r="U5" s="28"/>
      <c r="V5" s="28"/>
      <c r="W5" s="31"/>
      <c r="X5" s="30"/>
      <c r="Y5" s="28"/>
      <c r="Z5" s="28"/>
      <c r="AA5" s="28"/>
      <c r="AB5" s="31"/>
      <c r="AC5" s="30"/>
      <c r="AD5" s="28"/>
      <c r="AE5" s="28"/>
      <c r="AF5" s="28"/>
      <c r="AG5" s="31"/>
      <c r="AH5" s="32"/>
    </row>
    <row r="6" spans="1:34" x14ac:dyDescent="0.3">
      <c r="A6" s="28" t="s">
        <v>142</v>
      </c>
      <c r="B6" s="22" t="str">
        <f t="shared" si="0"/>
        <v>Cap Cer 100pF 50V C0G/NP0 0402 - BASIC</v>
      </c>
      <c r="C6" s="29" t="b">
        <f>OR(AND(Q6=_enum!$AN$3,OR(R6=_enum!$AH$7,R6=_enum!$AH$3)),AND(V6=_enum!$AN$3,OR(W6=_enum!$AH$7,W6=_enum!$AH$3)),AND(AA6=_enum!$AN$3,OR(AB6=_enum!$AH$7,AB6=_enum!$AH$3)), AND(AF6=_enum!$AN$3,OR(AG6=_enum!$AH$7,AG6=_enum!$AH$3)))</f>
        <v>1</v>
      </c>
      <c r="D6" s="28" t="s">
        <v>143</v>
      </c>
      <c r="E6" s="29">
        <f t="array" ref="E6">IF(OR(D6="",D6="TBD"),"",
_xlfn.LET(
_xlpm.s,LOWER(TRIM(D6)),
_xlpm.num,VALUE(LEFT(_xlpm.s,LEN(_xlpm.s)-1)),
_xlpm.unit,RIGHT(_xlpm.s,1),
_xlfn.SWITCH(_xlpm.unit,
"p",_xlpm.num/1000,
"n",_xlpm.num,
"u",_xlpm.num*1000,
D6)
))</f>
        <v>0.1</v>
      </c>
      <c r="F6" s="28" t="s">
        <v>117</v>
      </c>
      <c r="G6" s="28" t="s">
        <v>118</v>
      </c>
      <c r="H6" s="28" t="s">
        <v>139</v>
      </c>
      <c r="I6" s="28">
        <v>5</v>
      </c>
      <c r="J6" s="28" t="s">
        <v>130</v>
      </c>
      <c r="K6" s="28" t="s">
        <v>121</v>
      </c>
      <c r="L6" s="28" t="s">
        <v>131</v>
      </c>
      <c r="M6" s="28" t="s">
        <v>123</v>
      </c>
      <c r="N6" s="30" t="s">
        <v>144</v>
      </c>
      <c r="O6" s="28" t="s">
        <v>145</v>
      </c>
      <c r="P6" s="28" t="s">
        <v>146</v>
      </c>
      <c r="Q6" s="28" t="s">
        <v>109</v>
      </c>
      <c r="R6" s="31" t="s">
        <v>127</v>
      </c>
      <c r="S6" s="28"/>
      <c r="T6" s="28"/>
      <c r="U6" s="28"/>
      <c r="V6" s="28"/>
      <c r="W6" s="31"/>
      <c r="X6" s="30"/>
      <c r="Y6" s="28"/>
      <c r="Z6" s="28"/>
      <c r="AA6" s="28"/>
      <c r="AB6" s="31"/>
      <c r="AC6" s="30"/>
      <c r="AD6" s="28"/>
      <c r="AE6" s="28"/>
      <c r="AF6" s="28"/>
      <c r="AG6" s="31"/>
      <c r="AH6" s="32"/>
    </row>
    <row r="7" spans="1:34" x14ac:dyDescent="0.3">
      <c r="A7" s="28" t="s">
        <v>147</v>
      </c>
      <c r="B7" s="22" t="str">
        <f t="shared" si="0"/>
        <v>Cap Cer 12pF 50V C0G/NP0 0402 - BASIC</v>
      </c>
      <c r="C7" s="29" t="b">
        <f>OR(AND(Q7=_enum!$AN$3,OR(R7=_enum!$AH$7,R7=_enum!$AH$3)),AND(V7=_enum!$AN$3,OR(W7=_enum!$AH$7,W7=_enum!$AH$3)),AND(AA7=_enum!$AN$3,OR(AB7=_enum!$AH$7,AB7=_enum!$AH$3)), AND(AF7=_enum!$AN$3,OR(AG7=_enum!$AH$7,AG7=_enum!$AH$3)))</f>
        <v>1</v>
      </c>
      <c r="D7" s="28" t="s">
        <v>148</v>
      </c>
      <c r="E7" s="29">
        <f t="array" ref="E7">IF(OR(D7="",D7="TBD"),"",
_xlfn.LET(
_xlpm.s,LOWER(TRIM(D7)),
_xlpm.num,VALUE(LEFT(_xlpm.s,LEN(_xlpm.s)-1)),
_xlpm.unit,RIGHT(_xlpm.s,1),
_xlfn.SWITCH(_xlpm.unit,
"p",_xlpm.num/1000,
"n",_xlpm.num,
"u",_xlpm.num*1000,
D7)
))</f>
        <v>1.2E-2</v>
      </c>
      <c r="F7" s="28" t="s">
        <v>117</v>
      </c>
      <c r="G7" s="28" t="s">
        <v>118</v>
      </c>
      <c r="H7" s="28" t="s">
        <v>139</v>
      </c>
      <c r="I7" s="28">
        <v>5</v>
      </c>
      <c r="J7" s="28" t="s">
        <v>130</v>
      </c>
      <c r="K7" s="28" t="s">
        <v>121</v>
      </c>
      <c r="L7" s="28" t="s">
        <v>131</v>
      </c>
      <c r="M7" s="28" t="s">
        <v>123</v>
      </c>
      <c r="N7" s="30" t="s">
        <v>144</v>
      </c>
      <c r="O7" s="28" t="s">
        <v>149</v>
      </c>
      <c r="P7" s="28" t="s">
        <v>150</v>
      </c>
      <c r="Q7" s="28" t="s">
        <v>109</v>
      </c>
      <c r="R7" s="31" t="s">
        <v>127</v>
      </c>
      <c r="S7" s="28"/>
      <c r="T7" s="28"/>
      <c r="U7" s="28"/>
      <c r="V7" s="28"/>
      <c r="W7" s="31"/>
      <c r="X7" s="30"/>
      <c r="Y7" s="28"/>
      <c r="Z7" s="28"/>
      <c r="AA7" s="28"/>
      <c r="AB7" s="31"/>
      <c r="AC7" s="30"/>
      <c r="AD7" s="28"/>
      <c r="AE7" s="28"/>
      <c r="AF7" s="28"/>
      <c r="AG7" s="31"/>
      <c r="AH7" s="32"/>
    </row>
    <row r="8" spans="1:34" x14ac:dyDescent="0.3">
      <c r="A8" s="28" t="s">
        <v>151</v>
      </c>
      <c r="B8" s="22" t="str">
        <f t="shared" si="0"/>
        <v>Cap Cer 15pF 50V C0G/NP0 0402 - BASIC</v>
      </c>
      <c r="C8" s="29" t="b">
        <f>OR(AND(Q8=_enum!$AN$3,OR(R8=_enum!$AH$7,R8=_enum!$AH$3)),AND(V8=_enum!$AN$3,OR(W8=_enum!$AH$7,W8=_enum!$AH$3)),AND(AA8=_enum!$AN$3,OR(AB8=_enum!$AH$7,AB8=_enum!$AH$3)), AND(AF8=_enum!$AN$3,OR(AG8=_enum!$AH$7,AG8=_enum!$AH$3)))</f>
        <v>1</v>
      </c>
      <c r="D8" s="28" t="s">
        <v>152</v>
      </c>
      <c r="E8" s="29">
        <f t="array" ref="E8">IF(OR(D8="",D8="TBD"),"",
_xlfn.LET(
_xlpm.s,LOWER(TRIM(D8)),
_xlpm.num,VALUE(LEFT(_xlpm.s,LEN(_xlpm.s)-1)),
_xlpm.unit,RIGHT(_xlpm.s,1),
_xlfn.SWITCH(_xlpm.unit,
"p",_xlpm.num/1000,
"n",_xlpm.num,
"u",_xlpm.num*1000,
D8)
))</f>
        <v>1.4999999999999999E-2</v>
      </c>
      <c r="F8" s="28" t="s">
        <v>117</v>
      </c>
      <c r="G8" s="28" t="s">
        <v>118</v>
      </c>
      <c r="H8" s="28" t="s">
        <v>139</v>
      </c>
      <c r="I8" s="28">
        <v>5</v>
      </c>
      <c r="J8" s="28" t="s">
        <v>130</v>
      </c>
      <c r="K8" s="28" t="s">
        <v>121</v>
      </c>
      <c r="L8" s="28" t="s">
        <v>131</v>
      </c>
      <c r="M8" s="28" t="s">
        <v>123</v>
      </c>
      <c r="N8" s="30" t="s">
        <v>144</v>
      </c>
      <c r="O8" s="28" t="s">
        <v>153</v>
      </c>
      <c r="P8" s="28" t="s">
        <v>154</v>
      </c>
      <c r="Q8" s="28" t="s">
        <v>109</v>
      </c>
      <c r="R8" s="31" t="s">
        <v>127</v>
      </c>
      <c r="S8" s="28"/>
      <c r="T8" s="28"/>
      <c r="U8" s="28"/>
      <c r="V8" s="28"/>
      <c r="W8" s="31"/>
      <c r="X8" s="30"/>
      <c r="Y8" s="28"/>
      <c r="Z8" s="28"/>
      <c r="AA8" s="28"/>
      <c r="AB8" s="31"/>
      <c r="AC8" s="30"/>
      <c r="AD8" s="28"/>
      <c r="AE8" s="28"/>
      <c r="AF8" s="28"/>
      <c r="AG8" s="31"/>
      <c r="AH8" s="32"/>
    </row>
    <row r="9" spans="1:34" x14ac:dyDescent="0.3">
      <c r="A9" s="28" t="s">
        <v>155</v>
      </c>
      <c r="B9" s="22" t="str">
        <f t="shared" si="0"/>
        <v>Cap Cer 18pF 50V C0G/NP0 0402 - BASIC</v>
      </c>
      <c r="C9" s="29" t="b">
        <f>OR(AND(Q9=_enum!$AN$3,OR(R9=_enum!$AH$7,R9=_enum!$AH$3)),AND(V9=_enum!$AN$3,OR(W9=_enum!$AH$7,W9=_enum!$AH$3)),AND(AA9=_enum!$AN$3,OR(AB9=_enum!$AH$7,AB9=_enum!$AH$3)), AND(AF9=_enum!$AN$3,OR(AG9=_enum!$AH$7,AG9=_enum!$AH$3)))</f>
        <v>1</v>
      </c>
      <c r="D9" s="28" t="s">
        <v>156</v>
      </c>
      <c r="E9" s="29">
        <f t="array" ref="E9">IF(OR(D9="",D9="TBD"),"",
_xlfn.LET(
_xlpm.s,LOWER(TRIM(D9)),
_xlpm.num,VALUE(LEFT(_xlpm.s,LEN(_xlpm.s)-1)),
_xlpm.unit,RIGHT(_xlpm.s,1),
_xlfn.SWITCH(_xlpm.unit,
"p",_xlpm.num/1000,
"n",_xlpm.num,
"u",_xlpm.num*1000,
D9)
))</f>
        <v>1.7999999999999999E-2</v>
      </c>
      <c r="F9" s="28" t="s">
        <v>117</v>
      </c>
      <c r="G9" s="28" t="s">
        <v>118</v>
      </c>
      <c r="H9" s="28" t="s">
        <v>139</v>
      </c>
      <c r="I9" s="28">
        <v>5</v>
      </c>
      <c r="J9" s="28" t="s">
        <v>130</v>
      </c>
      <c r="K9" s="28" t="s">
        <v>121</v>
      </c>
      <c r="L9" s="28" t="s">
        <v>131</v>
      </c>
      <c r="M9" s="28" t="s">
        <v>123</v>
      </c>
      <c r="N9" s="30" t="s">
        <v>144</v>
      </c>
      <c r="O9" s="28" t="s">
        <v>157</v>
      </c>
      <c r="P9" s="28" t="s">
        <v>158</v>
      </c>
      <c r="Q9" s="28" t="s">
        <v>109</v>
      </c>
      <c r="R9" s="31" t="s">
        <v>127</v>
      </c>
      <c r="S9" s="28"/>
      <c r="T9" s="28"/>
      <c r="U9" s="28"/>
      <c r="V9" s="28"/>
      <c r="W9" s="31"/>
      <c r="X9" s="30"/>
      <c r="Y9" s="28"/>
      <c r="Z9" s="28"/>
      <c r="AA9" s="28"/>
      <c r="AB9" s="31"/>
      <c r="AC9" s="30"/>
      <c r="AD9" s="28"/>
      <c r="AE9" s="28"/>
      <c r="AF9" s="28"/>
      <c r="AG9" s="31"/>
      <c r="AH9" s="32"/>
    </row>
    <row r="10" spans="1:34" x14ac:dyDescent="0.3">
      <c r="A10" s="28" t="s">
        <v>159</v>
      </c>
      <c r="B10" s="22" t="str">
        <f t="shared" si="0"/>
        <v>Cap Cer 20pF 50V C0G/NP0 0402 - BASIC</v>
      </c>
      <c r="C10" s="29" t="b">
        <f>OR(AND(Q10=_enum!$AN$3,OR(R10=_enum!$AH$7,R10=_enum!$AH$3)),AND(V10=_enum!$AN$3,OR(W10=_enum!$AH$7,W10=_enum!$AH$3)),AND(AA10=_enum!$AN$3,OR(AB10=_enum!$AH$7,AB10=_enum!$AH$3)), AND(AF10=_enum!$AN$3,OR(AG10=_enum!$AH$7,AG10=_enum!$AH$3)))</f>
        <v>1</v>
      </c>
      <c r="D10" s="28" t="s">
        <v>160</v>
      </c>
      <c r="E10" s="29">
        <f t="array" ref="E10">IF(OR(D10="",D10="TBD"),"",
_xlfn.LET(
_xlpm.s,LOWER(TRIM(D10)),
_xlpm.num,VALUE(LEFT(_xlpm.s,LEN(_xlpm.s)-1)),
_xlpm.unit,RIGHT(_xlpm.s,1),
_xlfn.SWITCH(_xlpm.unit,
"p",_xlpm.num/1000,
"n",_xlpm.num,
"u",_xlpm.num*1000,
D10)
))</f>
        <v>0.02</v>
      </c>
      <c r="F10" s="28" t="s">
        <v>117</v>
      </c>
      <c r="G10" s="28" t="s">
        <v>118</v>
      </c>
      <c r="H10" s="28" t="s">
        <v>139</v>
      </c>
      <c r="I10" s="28">
        <v>5</v>
      </c>
      <c r="J10" s="28" t="s">
        <v>130</v>
      </c>
      <c r="K10" s="28" t="s">
        <v>121</v>
      </c>
      <c r="L10" s="28" t="s">
        <v>131</v>
      </c>
      <c r="M10" s="28" t="s">
        <v>123</v>
      </c>
      <c r="N10" s="30" t="s">
        <v>144</v>
      </c>
      <c r="O10" s="28" t="s">
        <v>161</v>
      </c>
      <c r="P10" s="28" t="s">
        <v>162</v>
      </c>
      <c r="Q10" s="28" t="s">
        <v>109</v>
      </c>
      <c r="R10" s="31" t="s">
        <v>127</v>
      </c>
      <c r="S10" s="28"/>
      <c r="T10" s="28"/>
      <c r="U10" s="28"/>
      <c r="V10" s="28"/>
      <c r="W10" s="31"/>
      <c r="X10" s="30"/>
      <c r="Y10" s="28"/>
      <c r="Z10" s="28"/>
      <c r="AA10" s="28"/>
      <c r="AB10" s="31"/>
      <c r="AC10" s="30"/>
      <c r="AD10" s="28"/>
      <c r="AE10" s="28"/>
      <c r="AF10" s="28"/>
      <c r="AG10" s="31"/>
      <c r="AH10" s="32"/>
    </row>
    <row r="11" spans="1:34" x14ac:dyDescent="0.3">
      <c r="A11" s="28" t="s">
        <v>163</v>
      </c>
      <c r="B11" s="22" t="str">
        <f t="shared" si="0"/>
        <v>Cap Cer 22pF 50V C0G/NP0 0402 - BASIC</v>
      </c>
      <c r="C11" s="29" t="b">
        <f>OR(AND(Q11=_enum!$AN$3,OR(R11=_enum!$AH$7,R11=_enum!$AH$3)),AND(V11=_enum!$AN$3,OR(W11=_enum!$AH$7,W11=_enum!$AH$3)),AND(AA11=_enum!$AN$3,OR(AB11=_enum!$AH$7,AB11=_enum!$AH$3)), AND(AF11=_enum!$AN$3,OR(AG11=_enum!$AH$7,AG11=_enum!$AH$3)))</f>
        <v>1</v>
      </c>
      <c r="D11" s="28" t="s">
        <v>164</v>
      </c>
      <c r="E11" s="29">
        <f t="array" ref="E11">IF(OR(D11="",D11="TBD"),"",
_xlfn.LET(
_xlpm.s,LOWER(TRIM(D11)),
_xlpm.num,VALUE(LEFT(_xlpm.s,LEN(_xlpm.s)-1)),
_xlpm.unit,RIGHT(_xlpm.s,1),
_xlfn.SWITCH(_xlpm.unit,
"p",_xlpm.num/1000,
"n",_xlpm.num,
"u",_xlpm.num*1000,
D11)
))</f>
        <v>2.1999999999999999E-2</v>
      </c>
      <c r="F11" s="28" t="s">
        <v>117</v>
      </c>
      <c r="G11" s="28" t="s">
        <v>118</v>
      </c>
      <c r="H11" s="28" t="s">
        <v>139</v>
      </c>
      <c r="I11" s="28">
        <v>5</v>
      </c>
      <c r="J11" s="28" t="s">
        <v>130</v>
      </c>
      <c r="K11" s="28" t="s">
        <v>121</v>
      </c>
      <c r="L11" s="28" t="s">
        <v>131</v>
      </c>
      <c r="M11" s="28" t="s">
        <v>123</v>
      </c>
      <c r="N11" s="30" t="s">
        <v>144</v>
      </c>
      <c r="O11" s="28" t="s">
        <v>165</v>
      </c>
      <c r="P11" s="28" t="s">
        <v>166</v>
      </c>
      <c r="Q11" s="28" t="s">
        <v>109</v>
      </c>
      <c r="R11" s="31" t="s">
        <v>127</v>
      </c>
      <c r="S11" s="28"/>
      <c r="T11" s="28"/>
      <c r="U11" s="28"/>
      <c r="V11" s="28"/>
      <c r="W11" s="31"/>
      <c r="X11" s="30"/>
      <c r="Y11" s="28"/>
      <c r="Z11" s="28"/>
      <c r="AA11" s="28"/>
      <c r="AB11" s="31"/>
      <c r="AC11" s="30"/>
      <c r="AD11" s="28"/>
      <c r="AE11" s="28"/>
      <c r="AF11" s="28"/>
      <c r="AG11" s="31"/>
      <c r="AH11" s="32"/>
    </row>
    <row r="12" spans="1:34" x14ac:dyDescent="0.3">
      <c r="A12" s="28" t="s">
        <v>167</v>
      </c>
      <c r="B12" s="22" t="str">
        <f t="shared" si="0"/>
        <v>Cap Cer 27pF 50V C0G/NP0 0402 - BASIC</v>
      </c>
      <c r="C12" s="29" t="b">
        <f>OR(AND(Q12=_enum!$AN$3,OR(R12=_enum!$AH$7,R12=_enum!$AH$3)),AND(V12=_enum!$AN$3,OR(W12=_enum!$AH$7,W12=_enum!$AH$3)),AND(AA12=_enum!$AN$3,OR(AB12=_enum!$AH$7,AB12=_enum!$AH$3)), AND(AF12=_enum!$AN$3,OR(AG12=_enum!$AH$7,AG12=_enum!$AH$3)))</f>
        <v>1</v>
      </c>
      <c r="D12" s="28" t="s">
        <v>168</v>
      </c>
      <c r="E12" s="29">
        <f t="array" ref="E12">IF(OR(D12="",D12="TBD"),"",
_xlfn.LET(
_xlpm.s,LOWER(TRIM(D12)),
_xlpm.num,VALUE(LEFT(_xlpm.s,LEN(_xlpm.s)-1)),
_xlpm.unit,RIGHT(_xlpm.s,1),
_xlfn.SWITCH(_xlpm.unit,
"p",_xlpm.num/1000,
"n",_xlpm.num,
"u",_xlpm.num*1000,
D12)
))</f>
        <v>2.7E-2</v>
      </c>
      <c r="F12" s="28" t="s">
        <v>117</v>
      </c>
      <c r="G12" s="28" t="s">
        <v>118</v>
      </c>
      <c r="H12" s="28" t="s">
        <v>139</v>
      </c>
      <c r="I12" s="28">
        <v>5</v>
      </c>
      <c r="J12" s="28" t="s">
        <v>130</v>
      </c>
      <c r="K12" s="28" t="s">
        <v>121</v>
      </c>
      <c r="L12" s="28" t="s">
        <v>131</v>
      </c>
      <c r="M12" s="28" t="s">
        <v>123</v>
      </c>
      <c r="N12" s="30" t="s">
        <v>144</v>
      </c>
      <c r="O12" s="28" t="s">
        <v>169</v>
      </c>
      <c r="P12" s="28" t="s">
        <v>170</v>
      </c>
      <c r="Q12" s="28" t="s">
        <v>109</v>
      </c>
      <c r="R12" s="31" t="s">
        <v>127</v>
      </c>
      <c r="S12" s="28"/>
      <c r="T12" s="28"/>
      <c r="U12" s="28"/>
      <c r="V12" s="28"/>
      <c r="W12" s="31"/>
      <c r="X12" s="30"/>
      <c r="Y12" s="28"/>
      <c r="Z12" s="28"/>
      <c r="AA12" s="28"/>
      <c r="AB12" s="31"/>
      <c r="AC12" s="30"/>
      <c r="AD12" s="28"/>
      <c r="AE12" s="28"/>
      <c r="AF12" s="28"/>
      <c r="AG12" s="31"/>
      <c r="AH12" s="32"/>
    </row>
    <row r="13" spans="1:34" x14ac:dyDescent="0.3">
      <c r="A13" s="28" t="s">
        <v>171</v>
      </c>
      <c r="B13" s="22" t="str">
        <f t="shared" si="0"/>
        <v>Cap Cer 33pF 50V C0G/NP0 0402 - BASIC</v>
      </c>
      <c r="C13" s="29" t="b">
        <f>OR(AND(Q13=_enum!$AN$3,OR(R13=_enum!$AH$7,R13=_enum!$AH$3)),AND(V13=_enum!$AN$3,OR(W13=_enum!$AH$7,W13=_enum!$AH$3)),AND(AA13=_enum!$AN$3,OR(AB13=_enum!$AH$7,AB13=_enum!$AH$3)), AND(AF13=_enum!$AN$3,OR(AG13=_enum!$AH$7,AG13=_enum!$AH$3)))</f>
        <v>1</v>
      </c>
      <c r="D13" s="28" t="s">
        <v>172</v>
      </c>
      <c r="E13" s="29">
        <f t="array" ref="E13">IF(OR(D13="",D13="TBD"),"",
_xlfn.LET(
_xlpm.s,LOWER(TRIM(D13)),
_xlpm.num,VALUE(LEFT(_xlpm.s,LEN(_xlpm.s)-1)),
_xlpm.unit,RIGHT(_xlpm.s,1),
_xlfn.SWITCH(_xlpm.unit,
"p",_xlpm.num/1000,
"n",_xlpm.num,
"u",_xlpm.num*1000,
D13)
))</f>
        <v>3.3000000000000002E-2</v>
      </c>
      <c r="F13" s="28" t="s">
        <v>117</v>
      </c>
      <c r="G13" s="28" t="s">
        <v>118</v>
      </c>
      <c r="H13" s="28" t="s">
        <v>139</v>
      </c>
      <c r="I13" s="28">
        <v>5</v>
      </c>
      <c r="J13" s="28" t="s">
        <v>130</v>
      </c>
      <c r="K13" s="28" t="s">
        <v>121</v>
      </c>
      <c r="L13" s="28" t="s">
        <v>131</v>
      </c>
      <c r="M13" s="28" t="s">
        <v>123</v>
      </c>
      <c r="N13" s="30" t="s">
        <v>144</v>
      </c>
      <c r="O13" s="28" t="s">
        <v>173</v>
      </c>
      <c r="P13" s="28" t="s">
        <v>174</v>
      </c>
      <c r="Q13" s="28" t="s">
        <v>109</v>
      </c>
      <c r="R13" s="31" t="s">
        <v>127</v>
      </c>
      <c r="S13" s="28"/>
      <c r="T13" s="28"/>
      <c r="U13" s="28"/>
      <c r="V13" s="28"/>
      <c r="W13" s="31"/>
      <c r="X13" s="30"/>
      <c r="Y13" s="28"/>
      <c r="Z13" s="28"/>
      <c r="AA13" s="28"/>
      <c r="AB13" s="31"/>
      <c r="AC13" s="30"/>
      <c r="AD13" s="28"/>
      <c r="AE13" s="28"/>
      <c r="AF13" s="28"/>
      <c r="AG13" s="31"/>
      <c r="AH13" s="32"/>
    </row>
    <row r="14" spans="1:34" x14ac:dyDescent="0.3">
      <c r="A14" s="28" t="s">
        <v>175</v>
      </c>
      <c r="B14" s="22" t="str">
        <f t="shared" si="0"/>
        <v>Cap Cer 1uF 50V X5R 0603 - BASIC</v>
      </c>
      <c r="C14" s="29" t="b">
        <f>OR(AND(Q14=_enum!$AN$3,OR(R14=_enum!$AH$7,R14=_enum!$AH$3)),AND(V14=_enum!$AN$3,OR(W14=_enum!$AH$7,W14=_enum!$AH$3)),AND(AA14=_enum!$AN$3,OR(AB14=_enum!$AH$7,AB14=_enum!$AH$3)), AND(AF14=_enum!$AN$3,OR(AG14=_enum!$AH$7,AG14=_enum!$AH$3)))</f>
        <v>1</v>
      </c>
      <c r="D14" s="28" t="s">
        <v>176</v>
      </c>
      <c r="E14" s="29">
        <f t="array" ref="E14">IF(OR(D14="",D14="TBD"),"",
_xlfn.LET(
_xlpm.s,LOWER(TRIM(D14)),
_xlpm.num,VALUE(LEFT(_xlpm.s,LEN(_xlpm.s)-1)),
_xlpm.unit,RIGHT(_xlpm.s,1),
_xlfn.SWITCH(_xlpm.unit,
"p",_xlpm.num/1000,
"n",_xlpm.num,
"u",_xlpm.num*1000,
D14)
))</f>
        <v>1000</v>
      </c>
      <c r="F14" s="28" t="s">
        <v>117</v>
      </c>
      <c r="G14" s="28" t="s">
        <v>118</v>
      </c>
      <c r="H14" s="28" t="s">
        <v>177</v>
      </c>
      <c r="I14" s="28">
        <v>10</v>
      </c>
      <c r="J14" s="28" t="s">
        <v>120</v>
      </c>
      <c r="K14" s="28" t="s">
        <v>121</v>
      </c>
      <c r="L14" s="28" t="s">
        <v>122</v>
      </c>
      <c r="M14" s="28" t="s">
        <v>123</v>
      </c>
      <c r="N14" s="30" t="s">
        <v>124</v>
      </c>
      <c r="O14" s="28" t="s">
        <v>178</v>
      </c>
      <c r="P14" s="28" t="s">
        <v>179</v>
      </c>
      <c r="Q14" s="28" t="s">
        <v>109</v>
      </c>
      <c r="R14" s="31" t="s">
        <v>127</v>
      </c>
      <c r="S14" s="28"/>
      <c r="T14" s="28"/>
      <c r="U14" s="28"/>
      <c r="V14" s="28"/>
      <c r="W14" s="31"/>
      <c r="X14" s="30"/>
      <c r="Y14" s="28"/>
      <c r="Z14" s="28"/>
      <c r="AA14" s="28"/>
      <c r="AB14" s="31"/>
      <c r="AC14" s="30"/>
      <c r="AD14" s="28"/>
      <c r="AE14" s="28"/>
      <c r="AF14" s="28"/>
      <c r="AG14" s="31"/>
      <c r="AH14" s="32"/>
    </row>
    <row r="15" spans="1:34" x14ac:dyDescent="0.3">
      <c r="A15" s="28" t="s">
        <v>180</v>
      </c>
      <c r="B15" s="22" t="str">
        <f t="shared" si="0"/>
        <v>Cap Cer 22uF 6.3V X5R 0603 - BASIC</v>
      </c>
      <c r="C15" s="29" t="b">
        <f>OR(AND(Q15=_enum!$AN$3,OR(R15=_enum!$AH$7,R15=_enum!$AH$3)),AND(V15=_enum!$AN$3,OR(W15=_enum!$AH$7,W15=_enum!$AH$3)),AND(AA15=_enum!$AN$3,OR(AB15=_enum!$AH$7,AB15=_enum!$AH$3)), AND(AF15=_enum!$AN$3,OR(AG15=_enum!$AH$7,AG15=_enum!$AH$3)))</f>
        <v>1</v>
      </c>
      <c r="D15" s="28" t="s">
        <v>181</v>
      </c>
      <c r="E15" s="29">
        <f t="array" ref="E15">IF(OR(D15="",D15="TBD"),"",
_xlfn.LET(
_xlpm.s,LOWER(TRIM(D15)),
_xlpm.num,VALUE(LEFT(_xlpm.s,LEN(_xlpm.s)-1)),
_xlpm.unit,RIGHT(_xlpm.s,1),
_xlfn.SWITCH(_xlpm.unit,
"p",_xlpm.num/1000,
"n",_xlpm.num,
"u",_xlpm.num*1000,
D15)
))</f>
        <v>22000</v>
      </c>
      <c r="F15" s="28" t="s">
        <v>182</v>
      </c>
      <c r="G15" s="28" t="s">
        <v>118</v>
      </c>
      <c r="H15" s="28" t="s">
        <v>177</v>
      </c>
      <c r="I15" s="28">
        <v>20</v>
      </c>
      <c r="J15" s="28" t="s">
        <v>120</v>
      </c>
      <c r="K15" s="28" t="s">
        <v>121</v>
      </c>
      <c r="L15" s="28" t="s">
        <v>122</v>
      </c>
      <c r="M15" s="28" t="s">
        <v>123</v>
      </c>
      <c r="N15" s="30" t="s">
        <v>124</v>
      </c>
      <c r="O15" s="28" t="s">
        <v>183</v>
      </c>
      <c r="P15" s="28" t="s">
        <v>184</v>
      </c>
      <c r="Q15" s="28" t="s">
        <v>109</v>
      </c>
      <c r="R15" s="31" t="s">
        <v>127</v>
      </c>
      <c r="S15" s="28"/>
      <c r="T15" s="28"/>
      <c r="U15" s="28"/>
      <c r="V15" s="28"/>
      <c r="W15" s="31"/>
      <c r="X15" s="30"/>
      <c r="Y15" s="28"/>
      <c r="Z15" s="28"/>
      <c r="AA15" s="28"/>
      <c r="AB15" s="31"/>
      <c r="AC15" s="30"/>
      <c r="AD15" s="28"/>
      <c r="AE15" s="28"/>
      <c r="AF15" s="28"/>
      <c r="AG15" s="31"/>
      <c r="AH15" s="32"/>
    </row>
    <row r="16" spans="1:34" x14ac:dyDescent="0.3">
      <c r="A16" s="28" t="s">
        <v>185</v>
      </c>
      <c r="B16" s="22" t="str">
        <f t="shared" si="0"/>
        <v>Cap Cer 2.2uF 16V X5R 0603 - BASIC</v>
      </c>
      <c r="C16" s="29" t="b">
        <f>OR(AND(Q16=_enum!$AN$3,OR(R16=_enum!$AH$7,R16=_enum!$AH$3)),AND(V16=_enum!$AN$3,OR(W16=_enum!$AH$7,W16=_enum!$AH$3)),AND(AA16=_enum!$AN$3,OR(AB16=_enum!$AH$7,AB16=_enum!$AH$3)), AND(AF16=_enum!$AN$3,OR(AG16=_enum!$AH$7,AG16=_enum!$AH$3)))</f>
        <v>1</v>
      </c>
      <c r="D16" s="28" t="s">
        <v>186</v>
      </c>
      <c r="E16" s="29">
        <f t="array" ref="E16">IF(OR(D16="",D16="TBD"),"",
_xlfn.LET(
_xlpm.s,LOWER(TRIM(D16)),
_xlpm.num,VALUE(LEFT(_xlpm.s,LEN(_xlpm.s)-1)),
_xlpm.unit,RIGHT(_xlpm.s,1),
_xlfn.SWITCH(_xlpm.unit,
"p",_xlpm.num/1000,
"n",_xlpm.num,
"u",_xlpm.num*1000,
D16)
))</f>
        <v>2200</v>
      </c>
      <c r="F16" s="28" t="s">
        <v>187</v>
      </c>
      <c r="G16" s="28" t="s">
        <v>118</v>
      </c>
      <c r="H16" s="28" t="s">
        <v>177</v>
      </c>
      <c r="I16" s="28">
        <v>10</v>
      </c>
      <c r="J16" s="28" t="s">
        <v>120</v>
      </c>
      <c r="K16" s="28" t="s">
        <v>121</v>
      </c>
      <c r="L16" s="28" t="s">
        <v>122</v>
      </c>
      <c r="M16" s="28" t="s">
        <v>123</v>
      </c>
      <c r="N16" s="30" t="s">
        <v>124</v>
      </c>
      <c r="O16" s="28" t="s">
        <v>188</v>
      </c>
      <c r="P16" s="28" t="s">
        <v>189</v>
      </c>
      <c r="Q16" s="28" t="s">
        <v>109</v>
      </c>
      <c r="R16" s="31" t="s">
        <v>127</v>
      </c>
      <c r="S16" s="28"/>
      <c r="T16" s="28"/>
      <c r="U16" s="28"/>
      <c r="V16" s="28"/>
      <c r="W16" s="31"/>
      <c r="X16" s="30"/>
      <c r="Y16" s="28"/>
      <c r="Z16" s="28"/>
      <c r="AA16" s="28"/>
      <c r="AB16" s="31"/>
      <c r="AC16" s="30"/>
      <c r="AD16" s="28"/>
      <c r="AE16" s="28"/>
      <c r="AF16" s="28"/>
      <c r="AG16" s="31"/>
      <c r="AH16" s="32"/>
    </row>
    <row r="17" spans="1:34" x14ac:dyDescent="0.3">
      <c r="A17" s="28" t="s">
        <v>190</v>
      </c>
      <c r="B17" s="22" t="str">
        <f t="shared" si="0"/>
        <v>Cap Cer 4.7uF 16V X5R 0603 - BASIC</v>
      </c>
      <c r="C17" s="29" t="b">
        <f>OR(AND(Q17=_enum!$AN$3,OR(R17=_enum!$AH$7,R17=_enum!$AH$3)),AND(V17=_enum!$AN$3,OR(W17=_enum!$AH$7,W17=_enum!$AH$3)),AND(AA17=_enum!$AN$3,OR(AB17=_enum!$AH$7,AB17=_enum!$AH$3)), AND(AF17=_enum!$AN$3,OR(AG17=_enum!$AH$7,AG17=_enum!$AH$3)))</f>
        <v>1</v>
      </c>
      <c r="D17" s="28" t="s">
        <v>191</v>
      </c>
      <c r="E17" s="29">
        <f t="array" ref="E17">IF(OR(D17="",D17="TBD"),"",
_xlfn.LET(
_xlpm.s,LOWER(TRIM(D17)),
_xlpm.num,VALUE(LEFT(_xlpm.s,LEN(_xlpm.s)-1)),
_xlpm.unit,RIGHT(_xlpm.s,1),
_xlfn.SWITCH(_xlpm.unit,
"p",_xlpm.num/1000,
"n",_xlpm.num,
"u",_xlpm.num*1000,
D17)
))</f>
        <v>4700</v>
      </c>
      <c r="F17" s="28" t="s">
        <v>187</v>
      </c>
      <c r="G17" s="28" t="s">
        <v>118</v>
      </c>
      <c r="H17" s="28" t="s">
        <v>177</v>
      </c>
      <c r="I17" s="28">
        <v>10</v>
      </c>
      <c r="J17" s="28" t="s">
        <v>120</v>
      </c>
      <c r="K17" s="28" t="s">
        <v>121</v>
      </c>
      <c r="L17" s="28" t="s">
        <v>122</v>
      </c>
      <c r="M17" s="28" t="s">
        <v>123</v>
      </c>
      <c r="N17" s="30" t="s">
        <v>124</v>
      </c>
      <c r="O17" s="28" t="s">
        <v>192</v>
      </c>
      <c r="P17" s="28" t="s">
        <v>193</v>
      </c>
      <c r="Q17" s="28" t="s">
        <v>109</v>
      </c>
      <c r="R17" s="31" t="s">
        <v>127</v>
      </c>
      <c r="S17" s="28"/>
      <c r="T17" s="28"/>
      <c r="U17" s="28"/>
      <c r="V17" s="28"/>
      <c r="W17" s="31"/>
      <c r="X17" s="30"/>
      <c r="Y17" s="28"/>
      <c r="Z17" s="28"/>
      <c r="AA17" s="28"/>
      <c r="AB17" s="31"/>
      <c r="AC17" s="30"/>
      <c r="AD17" s="28"/>
      <c r="AE17" s="28"/>
      <c r="AF17" s="28"/>
      <c r="AG17" s="31"/>
      <c r="AH17" s="32"/>
    </row>
    <row r="18" spans="1:34" x14ac:dyDescent="0.3">
      <c r="A18" s="28" t="s">
        <v>194</v>
      </c>
      <c r="B18" s="22" t="str">
        <f t="shared" si="0"/>
        <v>Cap Cer 100nF 16V X7R 0402 - BASIC</v>
      </c>
      <c r="C18" s="29" t="b">
        <f>OR(AND(Q18=_enum!$AN$3,OR(R18=_enum!$AH$7,R18=_enum!$AH$3)),AND(V18=_enum!$AN$3,OR(W18=_enum!$AH$7,W18=_enum!$AH$3)),AND(AA18=_enum!$AN$3,OR(AB18=_enum!$AH$7,AB18=_enum!$AH$3)), AND(AF18=_enum!$AN$3,OR(AG18=_enum!$AH$7,AG18=_enum!$AH$3)))</f>
        <v>1</v>
      </c>
      <c r="D18" s="28" t="s">
        <v>116</v>
      </c>
      <c r="E18" s="29">
        <f t="array" ref="E18">IF(OR(D18="",D18="TBD"),"",
_xlfn.LET(
_xlpm.s,LOWER(TRIM(D18)),
_xlpm.num,VALUE(LEFT(_xlpm.s,LEN(_xlpm.s)-1)),
_xlpm.unit,RIGHT(_xlpm.s,1),
_xlfn.SWITCH(_xlpm.unit,
"p",_xlpm.num/1000,
"n",_xlpm.num,
"u",_xlpm.num*1000,
D18)
))</f>
        <v>100</v>
      </c>
      <c r="F18" s="28" t="s">
        <v>187</v>
      </c>
      <c r="G18" s="28" t="s">
        <v>118</v>
      </c>
      <c r="H18" s="28" t="s">
        <v>119</v>
      </c>
      <c r="I18" s="28">
        <v>10</v>
      </c>
      <c r="J18" s="28" t="s">
        <v>130</v>
      </c>
      <c r="K18" s="28" t="s">
        <v>121</v>
      </c>
      <c r="L18" s="28" t="s">
        <v>131</v>
      </c>
      <c r="M18" s="28" t="s">
        <v>123</v>
      </c>
      <c r="N18" s="30" t="s">
        <v>124</v>
      </c>
      <c r="O18" s="28" t="s">
        <v>195</v>
      </c>
      <c r="P18" s="28" t="s">
        <v>196</v>
      </c>
      <c r="Q18" s="28" t="s">
        <v>109</v>
      </c>
      <c r="R18" s="31" t="s">
        <v>127</v>
      </c>
      <c r="S18" s="28"/>
      <c r="T18" s="28"/>
      <c r="U18" s="28"/>
      <c r="V18" s="28"/>
      <c r="W18" s="31"/>
      <c r="X18" s="30"/>
      <c r="Y18" s="28"/>
      <c r="Z18" s="28"/>
      <c r="AA18" s="28"/>
      <c r="AB18" s="31"/>
      <c r="AC18" s="30"/>
      <c r="AD18" s="28"/>
      <c r="AE18" s="28"/>
      <c r="AF18" s="28"/>
      <c r="AG18" s="31"/>
      <c r="AH18" s="32"/>
    </row>
    <row r="19" spans="1:34" x14ac:dyDescent="0.3">
      <c r="A19" s="28" t="s">
        <v>197</v>
      </c>
      <c r="B19" s="22" t="str">
        <f t="shared" si="0"/>
        <v>Cap Cer 10uF 10V X5R 0603 - BASIC</v>
      </c>
      <c r="C19" s="29" t="b">
        <f>OR(AND(Q19=_enum!$AN$3,OR(R19=_enum!$AH$7,R19=_enum!$AH$3)),AND(V19=_enum!$AN$3,OR(W19=_enum!$AH$7,W19=_enum!$AH$3)),AND(AA19=_enum!$AN$3,OR(AB19=_enum!$AH$7,AB19=_enum!$AH$3)), AND(AF19=_enum!$AN$3,OR(AG19=_enum!$AH$7,AG19=_enum!$AH$3)))</f>
        <v>1</v>
      </c>
      <c r="D19" s="28" t="s">
        <v>198</v>
      </c>
      <c r="E19" s="29">
        <f t="array" ref="E19">IF(OR(D19="",D19="TBD"),"",
_xlfn.LET(
_xlpm.s,LOWER(TRIM(D19)),
_xlpm.num,VALUE(LEFT(_xlpm.s,LEN(_xlpm.s)-1)),
_xlpm.unit,RIGHT(_xlpm.s,1),
_xlfn.SWITCH(_xlpm.unit,
"p",_xlpm.num/1000,
"n",_xlpm.num,
"u",_xlpm.num*1000,
D19)
))</f>
        <v>10000</v>
      </c>
      <c r="F19" s="28" t="s">
        <v>199</v>
      </c>
      <c r="G19" s="28" t="s">
        <v>118</v>
      </c>
      <c r="H19" s="28" t="s">
        <v>177</v>
      </c>
      <c r="I19" s="28">
        <v>10</v>
      </c>
      <c r="J19" s="28" t="s">
        <v>120</v>
      </c>
      <c r="K19" s="28" t="s">
        <v>121</v>
      </c>
      <c r="L19" s="28" t="s">
        <v>122</v>
      </c>
      <c r="M19" s="28" t="s">
        <v>123</v>
      </c>
      <c r="N19" s="30" t="s">
        <v>124</v>
      </c>
      <c r="O19" s="28" t="s">
        <v>200</v>
      </c>
      <c r="P19" s="28" t="s">
        <v>201</v>
      </c>
      <c r="Q19" s="28" t="s">
        <v>109</v>
      </c>
      <c r="R19" s="31" t="s">
        <v>127</v>
      </c>
      <c r="S19" s="28"/>
      <c r="T19" s="28"/>
      <c r="U19" s="28"/>
      <c r="V19" s="28"/>
      <c r="W19" s="31"/>
      <c r="X19" s="30"/>
      <c r="Y19" s="28"/>
      <c r="Z19" s="28"/>
      <c r="AA19" s="28"/>
      <c r="AB19" s="31"/>
      <c r="AC19" s="30"/>
      <c r="AD19" s="28"/>
      <c r="AE19" s="28"/>
      <c r="AF19" s="28"/>
      <c r="AG19" s="31"/>
      <c r="AH19" s="32"/>
    </row>
    <row r="20" spans="1:34" x14ac:dyDescent="0.3">
      <c r="A20" s="28" t="s">
        <v>202</v>
      </c>
      <c r="B20" s="22" t="str">
        <f t="shared" si="0"/>
        <v>Cap Cer 10uF 25V X5R 0805 - BASIC</v>
      </c>
      <c r="C20" s="29" t="b">
        <f>OR(AND(Q20=_enum!$AN$3,OR(R20=_enum!$AH$7,R20=_enum!$AH$3)),AND(V20=_enum!$AN$3,OR(W20=_enum!$AH$7,W20=_enum!$AH$3)),AND(AA20=_enum!$AN$3,OR(AB20=_enum!$AH$7,AB20=_enum!$AH$3)), AND(AF20=_enum!$AN$3,OR(AG20=_enum!$AH$7,AG20=_enum!$AH$3)))</f>
        <v>1</v>
      </c>
      <c r="D20" s="28" t="s">
        <v>198</v>
      </c>
      <c r="E20" s="29">
        <f t="array" ref="E20">IF(OR(D20="",D20="TBD"),"",
_xlfn.LET(
_xlpm.s,LOWER(TRIM(D20)),
_xlpm.num,VALUE(LEFT(_xlpm.s,LEN(_xlpm.s)-1)),
_xlpm.unit,RIGHT(_xlpm.s,1),
_xlfn.SWITCH(_xlpm.unit,
"p",_xlpm.num/1000,
"n",_xlpm.num,
"u",_xlpm.num*1000,
D20)
))</f>
        <v>10000</v>
      </c>
      <c r="F20" s="28" t="s">
        <v>203</v>
      </c>
      <c r="G20" s="28" t="s">
        <v>118</v>
      </c>
      <c r="H20" s="28" t="s">
        <v>177</v>
      </c>
      <c r="I20" s="28">
        <v>10</v>
      </c>
      <c r="J20" s="28" t="s">
        <v>204</v>
      </c>
      <c r="K20" s="28" t="s">
        <v>121</v>
      </c>
      <c r="L20" s="28" t="s">
        <v>205</v>
      </c>
      <c r="M20" s="28" t="s">
        <v>123</v>
      </c>
      <c r="N20" s="30" t="s">
        <v>124</v>
      </c>
      <c r="O20" s="28" t="s">
        <v>206</v>
      </c>
      <c r="P20" s="28" t="s">
        <v>207</v>
      </c>
      <c r="Q20" s="28" t="s">
        <v>109</v>
      </c>
      <c r="R20" s="31" t="s">
        <v>127</v>
      </c>
      <c r="S20" s="28"/>
      <c r="T20" s="28"/>
      <c r="U20" s="28"/>
      <c r="V20" s="28"/>
      <c r="W20" s="31"/>
      <c r="X20" s="30"/>
      <c r="Y20" s="28"/>
      <c r="Z20" s="28"/>
      <c r="AA20" s="28"/>
      <c r="AB20" s="31"/>
      <c r="AC20" s="30"/>
      <c r="AD20" s="28"/>
      <c r="AE20" s="28"/>
      <c r="AF20" s="28"/>
      <c r="AG20" s="31"/>
      <c r="AH20" s="32"/>
    </row>
    <row r="21" spans="1:34" x14ac:dyDescent="0.3">
      <c r="A21" s="28" t="s">
        <v>208</v>
      </c>
      <c r="B21" s="22" t="str">
        <f t="shared" si="0"/>
        <v>Cap Cer 22uF 25V X5R 0805</v>
      </c>
      <c r="C21" s="29" t="b">
        <f>OR(AND(Q21=_enum!$AN$3,OR(R21=_enum!$AH$7,R21=_enum!$AH$3)),AND(V21=_enum!$AN$3,OR(W21=_enum!$AH$7,W21=_enum!$AH$3)),AND(AA21=_enum!$AN$3,OR(AB21=_enum!$AH$7,AB21=_enum!$AH$3)), AND(AF21=_enum!$AN$3,OR(AG21=_enum!$AH$7,AG21=_enum!$AH$3)))</f>
        <v>0</v>
      </c>
      <c r="D21" s="28" t="s">
        <v>181</v>
      </c>
      <c r="E21" s="29">
        <f t="array" ref="E21">IF(OR(D21="",D21="TBD"),"",
_xlfn.LET(
_xlpm.s,LOWER(TRIM(D21)),
_xlpm.num,VALUE(LEFT(_xlpm.s,LEN(_xlpm.s)-1)),
_xlpm.unit,RIGHT(_xlpm.s,1),
_xlfn.SWITCH(_xlpm.unit,
"p",_xlpm.num/1000,
"n",_xlpm.num,
"u",_xlpm.num*1000,
D21)
))</f>
        <v>22000</v>
      </c>
      <c r="F21" s="28" t="s">
        <v>203</v>
      </c>
      <c r="G21" s="28" t="s">
        <v>118</v>
      </c>
      <c r="H21" s="28" t="s">
        <v>177</v>
      </c>
      <c r="I21" s="28">
        <v>20</v>
      </c>
      <c r="J21" s="28" t="s">
        <v>204</v>
      </c>
      <c r="K21" s="28" t="s">
        <v>121</v>
      </c>
      <c r="L21" s="28" t="s">
        <v>205</v>
      </c>
      <c r="M21" s="28" t="s">
        <v>123</v>
      </c>
      <c r="N21" s="30" t="s">
        <v>124</v>
      </c>
      <c r="O21" s="28" t="s">
        <v>209</v>
      </c>
      <c r="P21" s="28" t="s">
        <v>210</v>
      </c>
      <c r="Q21" s="28" t="s">
        <v>109</v>
      </c>
      <c r="R21" s="31" t="s">
        <v>211</v>
      </c>
      <c r="S21" s="28"/>
      <c r="T21" s="28"/>
      <c r="U21" s="28"/>
      <c r="V21" s="28"/>
      <c r="W21" s="31"/>
      <c r="X21" s="30"/>
      <c r="Y21" s="28"/>
      <c r="Z21" s="28"/>
      <c r="AA21" s="28"/>
      <c r="AB21" s="31"/>
      <c r="AC21" s="30"/>
      <c r="AD21" s="28"/>
      <c r="AE21" s="28"/>
      <c r="AF21" s="28"/>
      <c r="AG21" s="31"/>
      <c r="AH21" s="32" t="s">
        <v>212</v>
      </c>
    </row>
    <row r="22" spans="1:34" x14ac:dyDescent="0.3">
      <c r="A22" s="28" t="s">
        <v>213</v>
      </c>
      <c r="B22" s="22" t="str">
        <f t="shared" si="0"/>
        <v>Cap Cer 47uF 6.3V X5R 0805 - BASIC</v>
      </c>
      <c r="C22" s="29" t="b">
        <f>OR(AND(Q22=_enum!$AN$3,OR(R22=_enum!$AH$7,R22=_enum!$AH$3)),AND(V22=_enum!$AN$3,OR(W22=_enum!$AH$7,W22=_enum!$AH$3)),AND(AA22=_enum!$AN$3,OR(AB22=_enum!$AH$7,AB22=_enum!$AH$3)), AND(AF22=_enum!$AN$3,OR(AG22=_enum!$AH$7,AG22=_enum!$AH$3)))</f>
        <v>1</v>
      </c>
      <c r="D22" s="28" t="s">
        <v>214</v>
      </c>
      <c r="E22" s="29">
        <f t="array" ref="E22">IF(OR(D22="",D22="TBD"),"",
_xlfn.LET(
_xlpm.s,LOWER(TRIM(D22)),
_xlpm.num,VALUE(LEFT(_xlpm.s,LEN(_xlpm.s)-1)),
_xlpm.unit,RIGHT(_xlpm.s,1),
_xlfn.SWITCH(_xlpm.unit,
"p",_xlpm.num/1000,
"n",_xlpm.num,
"u",_xlpm.num*1000,
D22)
))</f>
        <v>47000</v>
      </c>
      <c r="F22" s="28" t="s">
        <v>182</v>
      </c>
      <c r="G22" s="28" t="s">
        <v>118</v>
      </c>
      <c r="H22" s="28" t="s">
        <v>177</v>
      </c>
      <c r="I22" s="28">
        <v>20</v>
      </c>
      <c r="J22" s="28" t="s">
        <v>204</v>
      </c>
      <c r="K22" s="28" t="s">
        <v>121</v>
      </c>
      <c r="L22" s="28" t="s">
        <v>205</v>
      </c>
      <c r="M22" s="28" t="s">
        <v>123</v>
      </c>
      <c r="N22" s="30" t="s">
        <v>124</v>
      </c>
      <c r="O22" s="28" t="s">
        <v>215</v>
      </c>
      <c r="P22" s="28" t="s">
        <v>216</v>
      </c>
      <c r="Q22" s="28" t="s">
        <v>109</v>
      </c>
      <c r="R22" s="31" t="s">
        <v>127</v>
      </c>
      <c r="S22" s="28"/>
      <c r="T22" s="28"/>
      <c r="U22" s="28"/>
      <c r="V22" s="28"/>
      <c r="W22" s="31"/>
      <c r="X22" s="30"/>
      <c r="Y22" s="28"/>
      <c r="Z22" s="28"/>
      <c r="AA22" s="28"/>
      <c r="AB22" s="31"/>
      <c r="AC22" s="30"/>
      <c r="AD22" s="28"/>
      <c r="AE22" s="28"/>
      <c r="AF22" s="28"/>
      <c r="AG22" s="31"/>
      <c r="AH22" s="32"/>
    </row>
    <row r="23" spans="1:34" x14ac:dyDescent="0.3">
      <c r="A23" s="28" t="s">
        <v>217</v>
      </c>
      <c r="B23" s="22" t="str">
        <f t="shared" si="0"/>
        <v>Cap Cer 10uF 50V X5R 0805 - BASIC</v>
      </c>
      <c r="C23" s="29" t="b">
        <f>OR(AND(Q23=_enum!$AN$3,OR(R23=_enum!$AH$7,R23=_enum!$AH$3)),AND(V23=_enum!$AN$3,OR(W23=_enum!$AH$7,W23=_enum!$AH$3)),AND(AA23=_enum!$AN$3,OR(AB23=_enum!$AH$7,AB23=_enum!$AH$3)), AND(AF23=_enum!$AN$3,OR(AG23=_enum!$AH$7,AG23=_enum!$AH$3)))</f>
        <v>1</v>
      </c>
      <c r="D23" s="28" t="s">
        <v>198</v>
      </c>
      <c r="E23" s="29">
        <f t="array" ref="E23">IF(OR(D23="",D23="TBD"),"",
_xlfn.LET(
_xlpm.s,LOWER(TRIM(D23)),
_xlpm.num,VALUE(LEFT(_xlpm.s,LEN(_xlpm.s)-1)),
_xlpm.unit,RIGHT(_xlpm.s,1),
_xlfn.SWITCH(_xlpm.unit,
"p",_xlpm.num/1000,
"n",_xlpm.num,
"u",_xlpm.num*1000,
D23)
))</f>
        <v>10000</v>
      </c>
      <c r="F23" s="28" t="s">
        <v>117</v>
      </c>
      <c r="G23" s="28" t="s">
        <v>118</v>
      </c>
      <c r="H23" s="28" t="s">
        <v>177</v>
      </c>
      <c r="I23" s="28">
        <v>10</v>
      </c>
      <c r="J23" s="28" t="s">
        <v>204</v>
      </c>
      <c r="K23" s="28" t="s">
        <v>121</v>
      </c>
      <c r="L23" s="28" t="s">
        <v>205</v>
      </c>
      <c r="M23" s="28" t="s">
        <v>123</v>
      </c>
      <c r="N23" s="30" t="s">
        <v>218</v>
      </c>
      <c r="O23" s="28" t="s">
        <v>219</v>
      </c>
      <c r="P23" s="28" t="s">
        <v>220</v>
      </c>
      <c r="Q23" s="28" t="s">
        <v>109</v>
      </c>
      <c r="R23" s="31" t="s">
        <v>127</v>
      </c>
      <c r="S23" s="28"/>
      <c r="T23" s="28"/>
      <c r="U23" s="28"/>
      <c r="V23" s="28"/>
      <c r="W23" s="31"/>
      <c r="X23" s="30"/>
      <c r="Y23" s="28"/>
      <c r="Z23" s="28"/>
      <c r="AA23" s="28"/>
      <c r="AB23" s="31"/>
      <c r="AC23" s="30"/>
      <c r="AD23" s="28"/>
      <c r="AE23" s="28"/>
      <c r="AF23" s="28"/>
      <c r="AG23" s="31"/>
      <c r="AH23" s="32"/>
    </row>
    <row r="24" spans="1:34" x14ac:dyDescent="0.3">
      <c r="A24" s="28" t="s">
        <v>221</v>
      </c>
      <c r="B24" s="22" t="str">
        <f t="shared" si="0"/>
        <v>Cap Cer 2.2uF 50V X5R 0805 - BASIC</v>
      </c>
      <c r="C24" s="29" t="b">
        <f>OR(AND(Q24=_enum!$AN$3,OR(R24=_enum!$AH$7,R24=_enum!$AH$3)),AND(V24=_enum!$AN$3,OR(W24=_enum!$AH$7,W24=_enum!$AH$3)),AND(AA24=_enum!$AN$3,OR(AB24=_enum!$AH$7,AB24=_enum!$AH$3)), AND(AF24=_enum!$AN$3,OR(AG24=_enum!$AH$7,AG24=_enum!$AH$3)))</f>
        <v>1</v>
      </c>
      <c r="D24" s="28" t="s">
        <v>186</v>
      </c>
      <c r="E24" s="29">
        <f t="array" ref="E24">IF(OR(D24="",D24="TBD"),"",
_xlfn.LET(
_xlpm.s,LOWER(TRIM(D24)),
_xlpm.num,VALUE(LEFT(_xlpm.s,LEN(_xlpm.s)-1)),
_xlpm.unit,RIGHT(_xlpm.s,1),
_xlfn.SWITCH(_xlpm.unit,
"p",_xlpm.num/1000,
"n",_xlpm.num,
"u",_xlpm.num*1000,
D24)
))</f>
        <v>2200</v>
      </c>
      <c r="F24" s="28" t="s">
        <v>117</v>
      </c>
      <c r="G24" s="28" t="s">
        <v>118</v>
      </c>
      <c r="H24" s="28" t="s">
        <v>177</v>
      </c>
      <c r="I24" s="28">
        <v>10</v>
      </c>
      <c r="J24" s="28" t="s">
        <v>204</v>
      </c>
      <c r="K24" s="28" t="s">
        <v>121</v>
      </c>
      <c r="L24" s="28" t="s">
        <v>205</v>
      </c>
      <c r="M24" s="28" t="s">
        <v>123</v>
      </c>
      <c r="N24" s="30" t="s">
        <v>124</v>
      </c>
      <c r="O24" s="28" t="s">
        <v>222</v>
      </c>
      <c r="P24" s="28" t="s">
        <v>223</v>
      </c>
      <c r="Q24" s="28" t="s">
        <v>109</v>
      </c>
      <c r="R24" s="31" t="s">
        <v>127</v>
      </c>
      <c r="S24" s="28"/>
      <c r="T24" s="28"/>
      <c r="U24" s="28"/>
      <c r="V24" s="28"/>
      <c r="W24" s="31"/>
      <c r="X24" s="30"/>
      <c r="Y24" s="28"/>
      <c r="Z24" s="28"/>
      <c r="AA24" s="28"/>
      <c r="AB24" s="31"/>
      <c r="AC24" s="30"/>
      <c r="AD24" s="28"/>
      <c r="AE24" s="28"/>
      <c r="AF24" s="28"/>
      <c r="AG24" s="31"/>
      <c r="AH24" s="32"/>
    </row>
    <row r="25" spans="1:34" x14ac:dyDescent="0.3">
      <c r="A25" s="28" t="s">
        <v>224</v>
      </c>
      <c r="B25" s="33" t="s">
        <v>225</v>
      </c>
      <c r="C25" s="29" t="b">
        <f>OR(AND(Q25=_enum!$AN$3,OR(R25=_enum!$AH$7,R25=_enum!$AH$3)),AND(V25=_enum!$AN$3,OR(W25=_enum!$AH$7,W25=_enum!$AH$3)),AND(AA25=_enum!$AN$3,OR(AB25=_enum!$AH$7,AB25=_enum!$AH$3)), AND(AF25=_enum!$AN$3,OR(AG25=_enum!$AH$7,AG25=_enum!$AH$3)))</f>
        <v>0</v>
      </c>
      <c r="D25" s="28" t="s">
        <v>226</v>
      </c>
      <c r="E25" s="34" t="s">
        <v>226</v>
      </c>
      <c r="F25" s="28" t="s">
        <v>226</v>
      </c>
      <c r="G25" s="28" t="s">
        <v>118</v>
      </c>
      <c r="H25" s="28" t="s">
        <v>227</v>
      </c>
      <c r="I25" s="28" t="s">
        <v>123</v>
      </c>
      <c r="J25" s="28" t="s">
        <v>130</v>
      </c>
      <c r="K25" s="28" t="s">
        <v>121</v>
      </c>
      <c r="L25" s="28" t="s">
        <v>131</v>
      </c>
      <c r="M25" s="28" t="s">
        <v>123</v>
      </c>
      <c r="N25" s="30"/>
      <c r="O25" s="28"/>
      <c r="P25" s="28"/>
      <c r="Q25" s="28"/>
      <c r="R25" s="31"/>
      <c r="S25" s="28"/>
      <c r="T25" s="28"/>
      <c r="U25" s="28"/>
      <c r="V25" s="28"/>
      <c r="W25" s="31"/>
      <c r="X25" s="30"/>
      <c r="Y25" s="28"/>
      <c r="Z25" s="28"/>
      <c r="AA25" s="28"/>
      <c r="AB25" s="31"/>
      <c r="AC25" s="30"/>
      <c r="AD25" s="28"/>
      <c r="AE25" s="28"/>
      <c r="AF25" s="28"/>
      <c r="AG25" s="31"/>
      <c r="AH25" s="32"/>
    </row>
    <row r="26" spans="1:34" x14ac:dyDescent="0.3">
      <c r="A26" s="33" t="s">
        <v>228</v>
      </c>
      <c r="B26" s="33" t="s">
        <v>229</v>
      </c>
      <c r="C26" s="29" t="b">
        <f>OR(AND(Q26=_enum!$AN$3,OR(R26=_enum!$AH$7,R26=_enum!$AH$3)),AND(V26=_enum!$AN$3,OR(W26=_enum!$AH$7,W26=_enum!$AH$3)),AND(AA26=_enum!$AN$3,OR(AB26=_enum!$AH$7,AB26=_enum!$AH$3)), AND(AF26=_enum!$AN$3,OR(AG26=_enum!$AH$7,AG26=_enum!$AH$3)))</f>
        <v>0</v>
      </c>
      <c r="D26" s="33" t="s">
        <v>226</v>
      </c>
      <c r="E26" s="34" t="s">
        <v>226</v>
      </c>
      <c r="F26" s="33" t="s">
        <v>226</v>
      </c>
      <c r="G26" s="28" t="s">
        <v>118</v>
      </c>
      <c r="H26" s="28" t="s">
        <v>227</v>
      </c>
      <c r="I26" s="28" t="s">
        <v>123</v>
      </c>
      <c r="J26" s="22" t="s">
        <v>120</v>
      </c>
      <c r="K26" s="28" t="s">
        <v>121</v>
      </c>
      <c r="L26" s="28" t="s">
        <v>122</v>
      </c>
      <c r="M26" s="33" t="s">
        <v>123</v>
      </c>
    </row>
    <row r="27" spans="1:34" x14ac:dyDescent="0.3">
      <c r="A27" s="33" t="s">
        <v>230</v>
      </c>
      <c r="B27" s="33" t="s">
        <v>231</v>
      </c>
      <c r="C27" s="29" t="b">
        <f>OR(AND(Q27=_enum!$AN$3,OR(R27=_enum!$AH$7,R27=_enum!$AH$3)),AND(V27=_enum!$AN$3,OR(W27=_enum!$AH$7,W27=_enum!$AH$3)),AND(AA27=_enum!$AN$3,OR(AB27=_enum!$AH$7,AB27=_enum!$AH$3)), AND(AF27=_enum!$AN$3,OR(AG27=_enum!$AH$7,AG27=_enum!$AH$3)))</f>
        <v>0</v>
      </c>
      <c r="D27" s="33" t="s">
        <v>226</v>
      </c>
      <c r="E27" s="34" t="s">
        <v>226</v>
      </c>
      <c r="F27" s="33" t="s">
        <v>226</v>
      </c>
      <c r="G27" s="28" t="s">
        <v>118</v>
      </c>
      <c r="H27" s="28" t="s">
        <v>227</v>
      </c>
      <c r="I27" s="28" t="s">
        <v>123</v>
      </c>
      <c r="J27" s="28" t="s">
        <v>204</v>
      </c>
      <c r="K27" s="28" t="s">
        <v>121</v>
      </c>
      <c r="L27" s="28" t="s">
        <v>205</v>
      </c>
      <c r="M27" s="28" t="s">
        <v>123</v>
      </c>
    </row>
  </sheetData>
  <dataValidations count="6">
    <dataValidation type="list" allowBlank="1" sqref="J2:J1000" xr:uid="{00000000-0002-0000-0200-000000000000}">
      <formula1>enum_package</formula1>
      <formula2>0</formula2>
    </dataValidation>
    <dataValidation type="list" allowBlank="1" sqref="G2:G1000" xr:uid="{00000000-0002-0000-0200-000001000000}">
      <formula1>enum_cap_techno</formula1>
      <formula2>0</formula2>
    </dataValidation>
    <dataValidation type="list" allowBlank="1" sqref="H2:H1000" xr:uid="{00000000-0002-0000-0200-000002000000}">
      <formula1>enum_cap_dielectric</formula1>
      <formula2>0</formula2>
    </dataValidation>
    <dataValidation type="list" allowBlank="1" sqref="N2:N1000 S2:S1000 X2:X1000 AC2:AC1000" xr:uid="{00000000-0002-0000-0200-000003000000}">
      <formula1>enum_mfn</formula1>
      <formula2>0</formula2>
    </dataValidation>
    <dataValidation type="list" allowBlank="1" sqref="R2:R1000 W2:W1000 AB2:AB1000 AG2:AG1000" xr:uid="{00000000-0002-0000-0200-000004000000}">
      <formula1>enum_status</formula1>
      <formula2>0</formula2>
    </dataValidation>
    <dataValidation type="list" allowBlank="1" sqref="Q2:Q1000 V2:V1000 AA2:AA1000 AF2:AF1000" xr:uid="{00000000-0002-0000-0200-000005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8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39" customWidth="1"/>
    <col min="3" max="3" width="12" customWidth="1"/>
    <col min="4" max="5" width="20" customWidth="1"/>
    <col min="6" max="6" width="45" customWidth="1"/>
    <col min="7" max="7" width="15.77734375" style="8" customWidth="1"/>
    <col min="8" max="10" width="15.77734375" customWidth="1"/>
    <col min="11" max="11" width="15.77734375" style="9" customWidth="1"/>
    <col min="12" max="12" width="15.77734375" style="8" customWidth="1"/>
    <col min="13" max="15" width="15.77734375" customWidth="1"/>
    <col min="16" max="16" width="15.77734375" style="9" customWidth="1"/>
    <col min="17" max="17" width="15.77734375" style="8" customWidth="1"/>
    <col min="18" max="20" width="15.77734375" customWidth="1"/>
    <col min="21" max="21" width="15.77734375" style="9" customWidth="1"/>
    <col min="22" max="22" width="15.77734375" style="8" customWidth="1"/>
    <col min="23" max="25" width="15.77734375" customWidth="1"/>
    <col min="26" max="26" width="15.77734375" style="9" customWidth="1"/>
    <col min="27" max="27" width="8.6640625" style="10"/>
  </cols>
  <sheetData>
    <row r="1" spans="1:27" ht="27.75" customHeight="1" x14ac:dyDescent="0.3">
      <c r="A1" s="11" t="s">
        <v>70</v>
      </c>
      <c r="B1" s="11" t="s">
        <v>3</v>
      </c>
      <c r="C1" s="11" t="s">
        <v>72</v>
      </c>
      <c r="D1" s="11" t="s">
        <v>75</v>
      </c>
      <c r="E1" s="11" t="s">
        <v>76</v>
      </c>
      <c r="F1" s="11" t="s">
        <v>77</v>
      </c>
      <c r="G1" s="13" t="s">
        <v>78</v>
      </c>
      <c r="H1" s="14" t="s">
        <v>79</v>
      </c>
      <c r="I1" s="14" t="s">
        <v>80</v>
      </c>
      <c r="J1" s="14" t="s">
        <v>81</v>
      </c>
      <c r="K1" s="16" t="s">
        <v>82</v>
      </c>
      <c r="L1" s="13" t="s">
        <v>83</v>
      </c>
      <c r="M1" s="14" t="s">
        <v>84</v>
      </c>
      <c r="N1" s="14" t="s">
        <v>85</v>
      </c>
      <c r="O1" s="14" t="s">
        <v>86</v>
      </c>
      <c r="P1" s="16" t="s">
        <v>87</v>
      </c>
      <c r="Q1" s="13" t="s">
        <v>88</v>
      </c>
      <c r="R1" s="14" t="s">
        <v>89</v>
      </c>
      <c r="S1" s="14" t="s">
        <v>90</v>
      </c>
      <c r="T1" s="14" t="s">
        <v>91</v>
      </c>
      <c r="U1" s="16" t="s">
        <v>92</v>
      </c>
      <c r="V1" s="13" t="s">
        <v>93</v>
      </c>
      <c r="W1" s="14" t="s">
        <v>94</v>
      </c>
      <c r="X1" s="14" t="s">
        <v>95</v>
      </c>
      <c r="Y1" s="14" t="s">
        <v>96</v>
      </c>
      <c r="Z1" s="16" t="s">
        <v>97</v>
      </c>
      <c r="AA1" s="17" t="s">
        <v>98</v>
      </c>
    </row>
    <row r="2" spans="1:27" x14ac:dyDescent="0.3">
      <c r="A2" s="3" t="s">
        <v>232</v>
      </c>
      <c r="B2" s="3" t="s">
        <v>233</v>
      </c>
      <c r="C2" s="3" t="s">
        <v>234</v>
      </c>
      <c r="D2" s="3" t="s">
        <v>235</v>
      </c>
      <c r="E2" s="3" t="s">
        <v>236</v>
      </c>
      <c r="F2" s="3" t="s">
        <v>237</v>
      </c>
      <c r="G2" s="19" t="s">
        <v>238</v>
      </c>
      <c r="H2" s="3" t="s">
        <v>239</v>
      </c>
      <c r="I2" s="3" t="s">
        <v>240</v>
      </c>
      <c r="K2" s="20" t="s">
        <v>127</v>
      </c>
      <c r="L2" s="19"/>
      <c r="M2" s="3"/>
      <c r="O2" s="3"/>
      <c r="P2" s="20"/>
      <c r="Q2" s="19"/>
      <c r="S2" s="3"/>
      <c r="T2" s="3"/>
      <c r="U2" s="20"/>
      <c r="W2" s="3"/>
      <c r="X2" s="3"/>
      <c r="Y2" s="3"/>
      <c r="Z2" s="20"/>
      <c r="AA2" s="21"/>
    </row>
    <row r="3" spans="1:27" x14ac:dyDescent="0.3">
      <c r="A3" s="3" t="s">
        <v>241</v>
      </c>
      <c r="B3" s="3" t="s">
        <v>242</v>
      </c>
      <c r="C3" s="3" t="s">
        <v>243</v>
      </c>
      <c r="D3" s="3" t="s">
        <v>244</v>
      </c>
      <c r="E3" s="3" t="s">
        <v>245</v>
      </c>
      <c r="F3" s="3" t="s">
        <v>246</v>
      </c>
      <c r="G3" s="19" t="s">
        <v>238</v>
      </c>
      <c r="H3" s="3" t="s">
        <v>247</v>
      </c>
      <c r="I3" s="3" t="s">
        <v>248</v>
      </c>
      <c r="K3" s="20" t="s">
        <v>127</v>
      </c>
      <c r="L3" s="19"/>
      <c r="M3" s="3"/>
      <c r="O3" s="3"/>
      <c r="P3" s="20"/>
      <c r="Q3" s="19"/>
      <c r="S3" s="3"/>
      <c r="T3" s="3"/>
      <c r="U3" s="20"/>
      <c r="W3" s="3"/>
      <c r="X3" s="3"/>
      <c r="Y3" s="3"/>
      <c r="Z3" s="20"/>
      <c r="AA3" s="21"/>
    </row>
    <row r="4" spans="1:27" x14ac:dyDescent="0.3">
      <c r="A4" s="3" t="s">
        <v>249</v>
      </c>
      <c r="B4" s="3" t="s">
        <v>250</v>
      </c>
      <c r="C4" s="3" t="s">
        <v>251</v>
      </c>
      <c r="D4" s="3" t="s">
        <v>252</v>
      </c>
      <c r="E4" s="3" t="s">
        <v>253</v>
      </c>
      <c r="F4" s="3" t="s">
        <v>254</v>
      </c>
      <c r="G4" s="19" t="s">
        <v>238</v>
      </c>
      <c r="H4" s="3" t="s">
        <v>255</v>
      </c>
      <c r="I4" s="3" t="s">
        <v>256</v>
      </c>
      <c r="K4" s="20" t="s">
        <v>127</v>
      </c>
      <c r="L4" s="19"/>
      <c r="M4" s="3"/>
      <c r="O4" s="3"/>
      <c r="P4" s="20"/>
      <c r="Q4" s="19"/>
      <c r="S4" s="3"/>
      <c r="T4" s="3"/>
      <c r="U4" s="20"/>
      <c r="W4" s="3"/>
      <c r="X4" s="3"/>
      <c r="Y4" s="3"/>
      <c r="Z4" s="20"/>
      <c r="AA4" s="21"/>
    </row>
    <row r="5" spans="1:27" x14ac:dyDescent="0.3">
      <c r="A5" s="3" t="s">
        <v>257</v>
      </c>
      <c r="B5" s="3" t="s">
        <v>258</v>
      </c>
      <c r="C5" s="3" t="s">
        <v>259</v>
      </c>
      <c r="D5" s="3" t="s">
        <v>260</v>
      </c>
      <c r="E5" s="3" t="s">
        <v>261</v>
      </c>
      <c r="F5" s="3"/>
      <c r="G5" s="19" t="s">
        <v>262</v>
      </c>
      <c r="H5" s="3" t="s">
        <v>263</v>
      </c>
      <c r="I5" s="3" t="s">
        <v>264</v>
      </c>
      <c r="K5" s="20" t="s">
        <v>265</v>
      </c>
      <c r="L5" s="19"/>
      <c r="M5" s="3"/>
      <c r="O5" s="3"/>
      <c r="P5" s="20"/>
      <c r="Q5" s="19"/>
      <c r="S5" s="3"/>
      <c r="T5" s="3"/>
      <c r="U5" s="20"/>
      <c r="W5" s="3"/>
      <c r="X5" s="3"/>
      <c r="Y5" s="3"/>
      <c r="Z5" s="20"/>
      <c r="AA5" s="21"/>
    </row>
    <row r="6" spans="1:27" x14ac:dyDescent="0.3">
      <c r="A6" s="3" t="s">
        <v>266</v>
      </c>
      <c r="B6" s="3" t="s">
        <v>267</v>
      </c>
      <c r="C6" s="3" t="s">
        <v>268</v>
      </c>
      <c r="D6" s="3" t="s">
        <v>269</v>
      </c>
      <c r="E6" s="3" t="s">
        <v>270</v>
      </c>
      <c r="F6" s="3"/>
      <c r="G6" s="19" t="s">
        <v>262</v>
      </c>
      <c r="H6" s="3" t="s">
        <v>271</v>
      </c>
      <c r="I6" s="3" t="s">
        <v>272</v>
      </c>
      <c r="K6" s="20" t="s">
        <v>265</v>
      </c>
      <c r="L6" s="19"/>
      <c r="M6" s="3"/>
      <c r="O6" s="3"/>
      <c r="P6" s="20"/>
      <c r="Q6" s="19"/>
      <c r="S6" s="3"/>
      <c r="T6" s="3"/>
      <c r="U6" s="20"/>
      <c r="W6" s="3"/>
      <c r="X6" s="3"/>
      <c r="Y6" s="3"/>
      <c r="Z6" s="20"/>
      <c r="AA6" s="21"/>
    </row>
    <row r="7" spans="1:27" x14ac:dyDescent="0.3">
      <c r="A7" s="3" t="s">
        <v>273</v>
      </c>
      <c r="B7" s="3" t="s">
        <v>274</v>
      </c>
      <c r="C7" s="3" t="s">
        <v>275</v>
      </c>
      <c r="D7" s="3" t="s">
        <v>276</v>
      </c>
      <c r="E7" s="3" t="s">
        <v>277</v>
      </c>
      <c r="F7" s="3"/>
      <c r="G7" s="19" t="s">
        <v>262</v>
      </c>
      <c r="H7" s="3" t="s">
        <v>278</v>
      </c>
      <c r="I7" s="3" t="s">
        <v>279</v>
      </c>
      <c r="K7" s="20" t="s">
        <v>265</v>
      </c>
      <c r="L7" s="19"/>
      <c r="M7" s="3"/>
      <c r="O7" s="3"/>
      <c r="P7" s="20"/>
      <c r="Q7" s="19"/>
      <c r="S7" s="3"/>
      <c r="T7" s="3"/>
      <c r="U7" s="20"/>
      <c r="W7" s="3"/>
      <c r="X7" s="3"/>
      <c r="Y7" s="3"/>
      <c r="Z7" s="20"/>
      <c r="AA7" s="21"/>
    </row>
    <row r="8" spans="1:27" x14ac:dyDescent="0.3">
      <c r="A8" s="3" t="s">
        <v>280</v>
      </c>
      <c r="B8" s="3" t="s">
        <v>281</v>
      </c>
      <c r="C8" s="3" t="s">
        <v>282</v>
      </c>
      <c r="D8" s="3" t="s">
        <v>283</v>
      </c>
      <c r="E8" s="3" t="s">
        <v>284</v>
      </c>
      <c r="F8" s="3" t="s">
        <v>285</v>
      </c>
      <c r="G8" s="19" t="s">
        <v>285</v>
      </c>
      <c r="H8" s="3" t="s">
        <v>285</v>
      </c>
      <c r="I8" s="3" t="s">
        <v>285</v>
      </c>
      <c r="K8" s="20" t="s">
        <v>127</v>
      </c>
      <c r="L8" s="19"/>
      <c r="M8" s="3"/>
      <c r="O8" s="3"/>
      <c r="P8" s="20"/>
      <c r="Q8" s="19"/>
      <c r="S8" s="3"/>
      <c r="T8" s="3"/>
      <c r="U8" s="20"/>
      <c r="W8" s="3"/>
      <c r="X8" s="3"/>
      <c r="Y8" s="3"/>
      <c r="Z8" s="20"/>
      <c r="AA8" s="21"/>
    </row>
  </sheetData>
  <dataValidations count="3">
    <dataValidation type="list" allowBlank="1" sqref="G2:G1000 L2:L1000 Q2:Q1000 V2:V1000" xr:uid="{00000000-0002-0000-0300-000000000000}">
      <formula1>enum_mfn</formula1>
      <formula2>0</formula2>
    </dataValidation>
    <dataValidation type="list" allowBlank="1" sqref="K2:K1000 P2:P1000 U2:U1000 Z2:Z1000" xr:uid="{00000000-0002-0000-0300-000001000000}">
      <formula1>enum_status</formula1>
      <formula2>0</formula2>
    </dataValidation>
    <dataValidation type="list" allowBlank="1" sqref="J2:J1000 O2:O1000 T2:T1000 Y2:Y1000" xr:uid="{00000000-0002-0000-0300-000002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22" customWidth="1"/>
    <col min="3" max="3" width="13" customWidth="1"/>
    <col min="4" max="4" width="10" customWidth="1"/>
    <col min="5" max="5" width="19" customWidth="1"/>
    <col min="6" max="7" width="10" customWidth="1"/>
    <col min="8" max="8" width="12" customWidth="1"/>
    <col min="9" max="9" width="11" customWidth="1"/>
    <col min="10" max="10" width="15.77734375" style="8" customWidth="1"/>
    <col min="11" max="13" width="15.77734375" customWidth="1"/>
    <col min="14" max="14" width="15.77734375" style="9" customWidth="1"/>
    <col min="15" max="19" width="15.77734375" customWidth="1"/>
    <col min="20" max="20" width="15.77734375" style="8" customWidth="1"/>
    <col min="21" max="23" width="15.77734375" customWidth="1"/>
    <col min="24" max="24" width="15.77734375" style="9" customWidth="1"/>
    <col min="25" max="29" width="15.77734375" customWidth="1"/>
    <col min="30" max="30" width="15.77734375" style="10" customWidth="1"/>
  </cols>
  <sheetData>
    <row r="1" spans="1:30" ht="27.75" customHeight="1" x14ac:dyDescent="0.3">
      <c r="A1" s="11" t="s">
        <v>70</v>
      </c>
      <c r="B1" s="11" t="s">
        <v>286</v>
      </c>
      <c r="C1" s="11" t="s">
        <v>3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3" t="s">
        <v>78</v>
      </c>
      <c r="K1" s="14" t="s">
        <v>79</v>
      </c>
      <c r="L1" s="14" t="s">
        <v>80</v>
      </c>
      <c r="M1" s="14" t="s">
        <v>81</v>
      </c>
      <c r="N1" s="16" t="s">
        <v>82</v>
      </c>
      <c r="O1" s="14" t="s">
        <v>83</v>
      </c>
      <c r="P1" s="14" t="s">
        <v>84</v>
      </c>
      <c r="Q1" s="14" t="s">
        <v>85</v>
      </c>
      <c r="R1" s="14" t="s">
        <v>86</v>
      </c>
      <c r="S1" s="14" t="s">
        <v>87</v>
      </c>
      <c r="T1" s="13" t="s">
        <v>88</v>
      </c>
      <c r="U1" s="14" t="s">
        <v>89</v>
      </c>
      <c r="V1" s="14" t="s">
        <v>90</v>
      </c>
      <c r="W1" s="14" t="s">
        <v>91</v>
      </c>
      <c r="X1" s="16" t="s">
        <v>92</v>
      </c>
      <c r="Y1" s="14" t="s">
        <v>93</v>
      </c>
      <c r="Z1" s="14" t="s">
        <v>94</v>
      </c>
      <c r="AA1" s="14" t="s">
        <v>95</v>
      </c>
      <c r="AB1" s="14" t="s">
        <v>96</v>
      </c>
      <c r="AC1" s="14" t="s">
        <v>97</v>
      </c>
      <c r="AD1" s="17" t="s">
        <v>98</v>
      </c>
    </row>
  </sheetData>
  <dataValidations count="4">
    <dataValidation type="list" allowBlank="1" sqref="E2:E1000" xr:uid="{00000000-0002-0000-0400-000000000000}">
      <formula1>enum_package</formula1>
      <formula2>0</formula2>
    </dataValidation>
    <dataValidation type="list" allowBlank="1" sqref="J2:J1000 O2:O1000 T2:T1000 Y2:Y1000" xr:uid="{00000000-0002-0000-0400-000001000000}">
      <formula1>enum_mfn</formula1>
      <formula2>0</formula2>
    </dataValidation>
    <dataValidation type="list" allowBlank="1" sqref="N2:N1000 S2:S1000 X2:X1000 AC2:AC1000" xr:uid="{00000000-0002-0000-0400-000002000000}">
      <formula1>enum_status</formula1>
      <formula2>0</formula2>
    </dataValidation>
    <dataValidation type="list" allowBlank="1" sqref="M2:M1000 R2:R1000 W2:W1000 AB2:AB1000" xr:uid="{00000000-0002-0000-0400-000003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5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38" customWidth="1"/>
    <col min="3" max="3" width="12" customWidth="1"/>
    <col min="4" max="4" width="15" customWidth="1"/>
    <col min="5" max="5" width="16" customWidth="1"/>
    <col min="6" max="6" width="21" customWidth="1"/>
    <col min="7" max="7" width="23" customWidth="1"/>
    <col min="8" max="8" width="19" customWidth="1"/>
    <col min="9" max="9" width="10" customWidth="1"/>
    <col min="10" max="10" width="45" customWidth="1"/>
    <col min="11" max="11" width="20" customWidth="1"/>
    <col min="12" max="12" width="29" customWidth="1"/>
    <col min="13" max="13" width="45" customWidth="1"/>
    <col min="14" max="14" width="15.77734375" style="8" customWidth="1"/>
    <col min="15" max="17" width="15.77734375" customWidth="1"/>
    <col min="18" max="18" width="15.77734375" style="9" customWidth="1"/>
    <col min="19" max="23" width="15.77734375" customWidth="1"/>
    <col min="24" max="24" width="15.77734375" style="8" customWidth="1"/>
    <col min="25" max="27" width="15.77734375" customWidth="1"/>
    <col min="28" max="28" width="15.77734375" style="9" customWidth="1"/>
    <col min="29" max="33" width="15.77734375" customWidth="1"/>
    <col min="34" max="34" width="58.21875" style="10" customWidth="1"/>
  </cols>
  <sheetData>
    <row r="1" spans="1:34" ht="27.75" customHeight="1" x14ac:dyDescent="0.3">
      <c r="A1" s="11" t="s">
        <v>70</v>
      </c>
      <c r="B1" s="11" t="s">
        <v>3</v>
      </c>
      <c r="C1" s="11" t="s">
        <v>72</v>
      </c>
      <c r="D1" s="11" t="s">
        <v>287</v>
      </c>
      <c r="E1" s="11" t="s">
        <v>288</v>
      </c>
      <c r="F1" s="11" t="s">
        <v>289</v>
      </c>
      <c r="G1" s="11" t="s">
        <v>290</v>
      </c>
      <c r="H1" s="11" t="s">
        <v>73</v>
      </c>
      <c r="I1" s="11" t="s">
        <v>74</v>
      </c>
      <c r="J1" s="11" t="s">
        <v>291</v>
      </c>
      <c r="K1" s="11" t="s">
        <v>75</v>
      </c>
      <c r="L1" s="11" t="s">
        <v>76</v>
      </c>
      <c r="M1" s="11" t="s">
        <v>77</v>
      </c>
      <c r="N1" s="13" t="s">
        <v>78</v>
      </c>
      <c r="O1" s="14" t="s">
        <v>79</v>
      </c>
      <c r="P1" s="14" t="s">
        <v>80</v>
      </c>
      <c r="Q1" s="14" t="s">
        <v>81</v>
      </c>
      <c r="R1" s="16" t="s">
        <v>82</v>
      </c>
      <c r="S1" s="14" t="s">
        <v>83</v>
      </c>
      <c r="T1" s="14" t="s">
        <v>84</v>
      </c>
      <c r="U1" s="14" t="s">
        <v>85</v>
      </c>
      <c r="V1" s="14" t="s">
        <v>86</v>
      </c>
      <c r="W1" s="14" t="s">
        <v>87</v>
      </c>
      <c r="X1" s="13" t="s">
        <v>88</v>
      </c>
      <c r="Y1" s="14" t="s">
        <v>89</v>
      </c>
      <c r="Z1" s="14" t="s">
        <v>90</v>
      </c>
      <c r="AA1" s="14" t="s">
        <v>91</v>
      </c>
      <c r="AB1" s="16" t="s">
        <v>92</v>
      </c>
      <c r="AC1" s="14" t="s">
        <v>93</v>
      </c>
      <c r="AD1" s="14" t="s">
        <v>94</v>
      </c>
      <c r="AE1" s="14" t="s">
        <v>95</v>
      </c>
      <c r="AF1" s="14" t="s">
        <v>96</v>
      </c>
      <c r="AG1" s="14" t="s">
        <v>97</v>
      </c>
      <c r="AH1" s="17" t="s">
        <v>98</v>
      </c>
    </row>
    <row r="2" spans="1:34" x14ac:dyDescent="0.3">
      <c r="A2" s="3" t="s">
        <v>292</v>
      </c>
      <c r="B2" s="3" t="s">
        <v>293</v>
      </c>
      <c r="C2" s="3" t="s">
        <v>294</v>
      </c>
      <c r="D2" s="3">
        <v>0.85499999999999998</v>
      </c>
      <c r="E2" s="3">
        <v>0.125</v>
      </c>
      <c r="F2" s="3">
        <v>100</v>
      </c>
      <c r="G2" s="3">
        <v>0.25</v>
      </c>
      <c r="H2" s="3" t="s">
        <v>295</v>
      </c>
      <c r="I2" s="3" t="s">
        <v>296</v>
      </c>
      <c r="J2" s="3"/>
      <c r="K2" s="3" t="s">
        <v>297</v>
      </c>
      <c r="L2" s="3" t="s">
        <v>298</v>
      </c>
      <c r="M2" s="3" t="s">
        <v>123</v>
      </c>
      <c r="N2" s="19" t="s">
        <v>299</v>
      </c>
      <c r="O2" s="3" t="s">
        <v>300</v>
      </c>
      <c r="P2" s="3" t="s">
        <v>301</v>
      </c>
      <c r="R2" s="20" t="s">
        <v>127</v>
      </c>
      <c r="S2" s="3"/>
      <c r="T2" s="3"/>
      <c r="V2" s="3"/>
      <c r="W2" s="3"/>
      <c r="X2" s="19"/>
      <c r="Z2" s="3"/>
      <c r="AA2" s="3"/>
      <c r="AB2" s="20"/>
      <c r="AD2" s="3"/>
      <c r="AE2" s="3"/>
      <c r="AF2" s="3"/>
      <c r="AG2" s="3"/>
      <c r="AH2" s="21"/>
    </row>
    <row r="3" spans="1:34" x14ac:dyDescent="0.3">
      <c r="A3" s="3" t="s">
        <v>302</v>
      </c>
      <c r="B3" s="3" t="s">
        <v>303</v>
      </c>
      <c r="C3" s="3" t="s">
        <v>304</v>
      </c>
      <c r="D3" s="3">
        <v>0.85499999999999998</v>
      </c>
      <c r="E3" s="3">
        <v>0.15</v>
      </c>
      <c r="F3" s="3">
        <v>100</v>
      </c>
      <c r="G3" s="3">
        <v>0.2</v>
      </c>
      <c r="H3" s="3" t="s">
        <v>305</v>
      </c>
      <c r="I3" s="3" t="s">
        <v>296</v>
      </c>
      <c r="J3" s="3"/>
      <c r="K3" s="3" t="s">
        <v>306</v>
      </c>
      <c r="L3" s="3" t="s">
        <v>307</v>
      </c>
      <c r="M3" s="3" t="s">
        <v>123</v>
      </c>
      <c r="N3" s="19" t="s">
        <v>308</v>
      </c>
      <c r="O3" s="3" t="s">
        <v>309</v>
      </c>
      <c r="P3" s="3" t="s">
        <v>310</v>
      </c>
      <c r="R3" s="20" t="s">
        <v>127</v>
      </c>
      <c r="S3" s="3"/>
      <c r="T3" s="3"/>
      <c r="V3" s="3"/>
      <c r="W3" s="3"/>
      <c r="X3" s="19"/>
      <c r="Z3" s="3"/>
      <c r="AA3" s="3"/>
      <c r="AB3" s="20"/>
      <c r="AD3" s="3"/>
      <c r="AE3" s="3"/>
      <c r="AF3" s="3"/>
      <c r="AG3" s="3"/>
      <c r="AH3" s="21"/>
    </row>
    <row r="4" spans="1:34" x14ac:dyDescent="0.3">
      <c r="A4" s="3" t="s">
        <v>311</v>
      </c>
      <c r="B4" s="3" t="s">
        <v>226</v>
      </c>
      <c r="C4" s="3" t="s">
        <v>312</v>
      </c>
      <c r="D4" s="3" t="s">
        <v>123</v>
      </c>
      <c r="E4" s="3" t="s">
        <v>123</v>
      </c>
      <c r="F4" s="3" t="s">
        <v>123</v>
      </c>
      <c r="G4" s="3" t="s">
        <v>123</v>
      </c>
      <c r="H4" s="3" t="s">
        <v>123</v>
      </c>
      <c r="I4" s="3" t="s">
        <v>296</v>
      </c>
      <c r="J4" s="3" t="s">
        <v>123</v>
      </c>
      <c r="K4" s="3" t="s">
        <v>306</v>
      </c>
      <c r="L4" s="3" t="s">
        <v>123</v>
      </c>
      <c r="M4" s="3" t="s">
        <v>123</v>
      </c>
      <c r="N4" s="19" t="s">
        <v>123</v>
      </c>
      <c r="O4" s="3" t="s">
        <v>123</v>
      </c>
      <c r="P4" s="3" t="s">
        <v>123</v>
      </c>
      <c r="R4" s="20" t="s">
        <v>313</v>
      </c>
      <c r="S4" s="3"/>
      <c r="T4" s="3"/>
      <c r="V4" s="3"/>
      <c r="W4" s="3"/>
      <c r="X4" s="19"/>
      <c r="Z4" s="3"/>
      <c r="AA4" s="3"/>
      <c r="AB4" s="20"/>
      <c r="AD4" s="3"/>
      <c r="AE4" s="3"/>
      <c r="AF4" s="3"/>
      <c r="AG4" s="3"/>
      <c r="AH4" s="21"/>
    </row>
    <row r="5" spans="1:34" x14ac:dyDescent="0.3">
      <c r="A5" s="3" t="s">
        <v>314</v>
      </c>
      <c r="B5" s="3" t="s">
        <v>315</v>
      </c>
      <c r="C5" s="3" t="s">
        <v>316</v>
      </c>
      <c r="D5" s="3" t="s">
        <v>123</v>
      </c>
      <c r="E5" s="3" t="s">
        <v>123</v>
      </c>
      <c r="F5" s="3">
        <v>3.3</v>
      </c>
      <c r="G5" s="3" t="s">
        <v>123</v>
      </c>
      <c r="H5" s="3" t="s">
        <v>317</v>
      </c>
      <c r="I5" s="3" t="s">
        <v>318</v>
      </c>
      <c r="J5" s="3" t="s">
        <v>319</v>
      </c>
      <c r="K5" s="3" t="s">
        <v>320</v>
      </c>
      <c r="L5" s="3" t="s">
        <v>321</v>
      </c>
      <c r="M5" s="3" t="s">
        <v>123</v>
      </c>
      <c r="N5" s="19" t="s">
        <v>322</v>
      </c>
      <c r="O5" s="3" t="s">
        <v>323</v>
      </c>
      <c r="P5" s="3" t="s">
        <v>324</v>
      </c>
      <c r="R5" s="20" t="s">
        <v>127</v>
      </c>
      <c r="S5" s="3"/>
      <c r="T5" s="3"/>
      <c r="V5" s="3"/>
      <c r="W5" s="3"/>
      <c r="X5" s="19"/>
      <c r="Z5" s="3"/>
      <c r="AA5" s="3"/>
      <c r="AB5" s="20"/>
      <c r="AD5" s="3"/>
      <c r="AE5" s="3"/>
      <c r="AF5" s="3"/>
      <c r="AG5" s="3"/>
      <c r="AH5" s="21" t="s">
        <v>325</v>
      </c>
    </row>
    <row r="6" spans="1:34" x14ac:dyDescent="0.3">
      <c r="A6" s="3" t="s">
        <v>326</v>
      </c>
      <c r="B6" s="3" t="s">
        <v>327</v>
      </c>
      <c r="C6" s="3" t="s">
        <v>328</v>
      </c>
      <c r="D6" s="3" t="s">
        <v>123</v>
      </c>
      <c r="E6" s="3" t="s">
        <v>123</v>
      </c>
      <c r="F6" s="3">
        <v>5</v>
      </c>
      <c r="G6" s="3" t="s">
        <v>329</v>
      </c>
      <c r="H6" s="3" t="s">
        <v>330</v>
      </c>
      <c r="I6" s="3" t="s">
        <v>318</v>
      </c>
      <c r="J6" s="3" t="s">
        <v>331</v>
      </c>
      <c r="K6" s="3" t="s">
        <v>320</v>
      </c>
      <c r="L6" s="3" t="s">
        <v>332</v>
      </c>
      <c r="M6" s="3" t="s">
        <v>123</v>
      </c>
      <c r="N6" s="19" t="s">
        <v>299</v>
      </c>
      <c r="O6" s="3" t="s">
        <v>333</v>
      </c>
      <c r="P6" s="3" t="s">
        <v>334</v>
      </c>
      <c r="R6" s="20" t="s">
        <v>127</v>
      </c>
      <c r="S6" s="3" t="s">
        <v>335</v>
      </c>
      <c r="T6" s="3" t="s">
        <v>336</v>
      </c>
      <c r="V6" s="3" t="s">
        <v>285</v>
      </c>
      <c r="W6" s="3" t="s">
        <v>265</v>
      </c>
      <c r="X6" s="19"/>
      <c r="Z6" s="3"/>
      <c r="AA6" s="3"/>
      <c r="AB6" s="20"/>
      <c r="AD6" s="3"/>
      <c r="AE6" s="3"/>
      <c r="AF6" s="3"/>
      <c r="AG6" s="3"/>
      <c r="AH6" s="21"/>
    </row>
    <row r="7" spans="1:34" x14ac:dyDescent="0.3">
      <c r="A7" s="3" t="s">
        <v>337</v>
      </c>
      <c r="B7" s="3" t="s">
        <v>338</v>
      </c>
      <c r="C7" s="3" t="s">
        <v>339</v>
      </c>
      <c r="D7" s="3" t="s">
        <v>123</v>
      </c>
      <c r="E7" s="3" t="s">
        <v>123</v>
      </c>
      <c r="F7" s="3">
        <v>5</v>
      </c>
      <c r="G7" s="3" t="s">
        <v>340</v>
      </c>
      <c r="H7" s="3" t="s">
        <v>305</v>
      </c>
      <c r="I7" s="3" t="s">
        <v>318</v>
      </c>
      <c r="J7" s="3" t="s">
        <v>341</v>
      </c>
      <c r="K7" s="3" t="s">
        <v>320</v>
      </c>
      <c r="L7" s="3" t="s">
        <v>307</v>
      </c>
      <c r="M7" s="3" t="s">
        <v>123</v>
      </c>
      <c r="N7" s="19" t="s">
        <v>342</v>
      </c>
      <c r="O7" s="3" t="s">
        <v>343</v>
      </c>
      <c r="P7" s="3" t="s">
        <v>344</v>
      </c>
      <c r="R7" s="20" t="s">
        <v>127</v>
      </c>
      <c r="S7" s="3" t="s">
        <v>322</v>
      </c>
      <c r="T7" s="3" t="s">
        <v>345</v>
      </c>
      <c r="V7" s="3" t="s">
        <v>346</v>
      </c>
      <c r="W7" s="3" t="s">
        <v>110</v>
      </c>
      <c r="X7" s="19"/>
      <c r="Z7" s="3"/>
      <c r="AA7" s="3"/>
      <c r="AB7" s="20"/>
      <c r="AD7" s="3"/>
      <c r="AE7" s="3"/>
      <c r="AF7" s="3"/>
      <c r="AG7" s="3"/>
      <c r="AH7" s="21"/>
    </row>
    <row r="8" spans="1:34" x14ac:dyDescent="0.3">
      <c r="A8" s="3" t="s">
        <v>347</v>
      </c>
      <c r="B8" s="3" t="s">
        <v>348</v>
      </c>
      <c r="C8" s="3" t="s">
        <v>349</v>
      </c>
      <c r="D8" s="3" t="s">
        <v>123</v>
      </c>
      <c r="E8" s="3" t="s">
        <v>123</v>
      </c>
      <c r="F8" s="3">
        <v>26</v>
      </c>
      <c r="G8" s="3" t="s">
        <v>350</v>
      </c>
      <c r="H8" s="3" t="s">
        <v>351</v>
      </c>
      <c r="I8" s="3" t="s">
        <v>318</v>
      </c>
      <c r="J8" s="3" t="s">
        <v>352</v>
      </c>
      <c r="K8" s="3" t="s">
        <v>353</v>
      </c>
      <c r="L8" s="3" t="s">
        <v>354</v>
      </c>
      <c r="M8" s="3" t="s">
        <v>355</v>
      </c>
      <c r="N8" s="19" t="s">
        <v>356</v>
      </c>
      <c r="O8" s="3" t="s">
        <v>357</v>
      </c>
      <c r="P8" s="3" t="s">
        <v>358</v>
      </c>
      <c r="R8" s="20" t="s">
        <v>127</v>
      </c>
      <c r="S8" s="3"/>
      <c r="T8" s="3"/>
      <c r="V8" s="3"/>
      <c r="W8" s="3"/>
      <c r="X8" s="19"/>
      <c r="Z8" s="3"/>
      <c r="AA8" s="3"/>
      <c r="AB8" s="20"/>
      <c r="AD8" s="3"/>
      <c r="AE8" s="3"/>
      <c r="AF8" s="3"/>
      <c r="AG8" s="3"/>
      <c r="AH8" s="21"/>
    </row>
    <row r="9" spans="1:34" x14ac:dyDescent="0.3">
      <c r="A9" s="3" t="s">
        <v>359</v>
      </c>
      <c r="B9" s="3" t="s">
        <v>360</v>
      </c>
      <c r="C9" s="3" t="s">
        <v>361</v>
      </c>
      <c r="D9" s="3">
        <v>2.9</v>
      </c>
      <c r="E9" s="3">
        <v>0.03</v>
      </c>
      <c r="F9" s="3">
        <v>5</v>
      </c>
      <c r="G9" s="3">
        <v>0.1</v>
      </c>
      <c r="H9" s="3" t="s">
        <v>120</v>
      </c>
      <c r="I9" s="3" t="s">
        <v>362</v>
      </c>
      <c r="J9" s="3" t="s">
        <v>363</v>
      </c>
      <c r="K9" s="3" t="s">
        <v>364</v>
      </c>
      <c r="L9" s="3" t="s">
        <v>365</v>
      </c>
      <c r="M9" s="3" t="s">
        <v>123</v>
      </c>
      <c r="N9" s="19" t="s">
        <v>366</v>
      </c>
      <c r="O9" s="3" t="s">
        <v>367</v>
      </c>
      <c r="P9" s="3" t="s">
        <v>368</v>
      </c>
      <c r="R9" s="20" t="s">
        <v>127</v>
      </c>
      <c r="S9" s="3"/>
      <c r="T9" s="3"/>
      <c r="V9" s="3"/>
      <c r="W9" s="3"/>
      <c r="X9" s="19"/>
      <c r="Z9" s="3"/>
      <c r="AA9" s="3"/>
      <c r="AB9" s="20"/>
      <c r="AD9" s="3"/>
      <c r="AE9" s="3"/>
      <c r="AF9" s="3"/>
      <c r="AG9" s="3"/>
      <c r="AH9" s="21"/>
    </row>
    <row r="10" spans="1:34" x14ac:dyDescent="0.3">
      <c r="A10" s="3" t="s">
        <v>369</v>
      </c>
      <c r="B10" s="3" t="s">
        <v>370</v>
      </c>
      <c r="C10" s="3" t="s">
        <v>361</v>
      </c>
      <c r="D10" s="3">
        <v>2.9</v>
      </c>
      <c r="E10" s="3">
        <v>2.5000000000000001E-2</v>
      </c>
      <c r="F10" s="3">
        <v>5</v>
      </c>
      <c r="G10" s="3">
        <v>0.08</v>
      </c>
      <c r="H10" s="3" t="s">
        <v>204</v>
      </c>
      <c r="I10" s="3" t="s">
        <v>362</v>
      </c>
      <c r="J10" s="3" t="s">
        <v>363</v>
      </c>
      <c r="K10" s="3" t="s">
        <v>364</v>
      </c>
      <c r="L10" s="3" t="s">
        <v>371</v>
      </c>
      <c r="M10" s="3" t="s">
        <v>123</v>
      </c>
      <c r="N10" s="19" t="s">
        <v>366</v>
      </c>
      <c r="O10" s="3" t="s">
        <v>372</v>
      </c>
      <c r="P10" s="3" t="s">
        <v>373</v>
      </c>
      <c r="R10" s="20" t="s">
        <v>127</v>
      </c>
      <c r="S10" s="3"/>
      <c r="T10" s="3"/>
      <c r="V10" s="3"/>
      <c r="W10" s="3"/>
      <c r="X10" s="19"/>
      <c r="Z10" s="3"/>
      <c r="AA10" s="3"/>
      <c r="AB10" s="20"/>
      <c r="AD10" s="3"/>
      <c r="AE10" s="3"/>
      <c r="AF10" s="3"/>
      <c r="AG10" s="3"/>
      <c r="AH10" s="21"/>
    </row>
    <row r="11" spans="1:34" x14ac:dyDescent="0.3">
      <c r="A11" s="3" t="s">
        <v>374</v>
      </c>
      <c r="B11" s="3" t="s">
        <v>375</v>
      </c>
      <c r="C11" s="3" t="s">
        <v>376</v>
      </c>
      <c r="D11" s="3">
        <v>1.9</v>
      </c>
      <c r="E11" s="3">
        <v>2.5000000000000001E-2</v>
      </c>
      <c r="F11" s="3">
        <v>5</v>
      </c>
      <c r="G11" s="3">
        <v>0.04</v>
      </c>
      <c r="H11" s="3" t="s">
        <v>120</v>
      </c>
      <c r="I11" s="3" t="s">
        <v>362</v>
      </c>
      <c r="J11" s="3" t="s">
        <v>377</v>
      </c>
      <c r="K11" s="3" t="s">
        <v>364</v>
      </c>
      <c r="L11" s="3" t="s">
        <v>365</v>
      </c>
      <c r="M11" s="3" t="s">
        <v>123</v>
      </c>
      <c r="N11" s="19" t="s">
        <v>366</v>
      </c>
      <c r="O11" s="3" t="s">
        <v>378</v>
      </c>
      <c r="P11" s="3" t="s">
        <v>379</v>
      </c>
      <c r="R11" s="20" t="s">
        <v>127</v>
      </c>
      <c r="S11" s="3"/>
      <c r="T11" s="3"/>
      <c r="V11" s="3"/>
      <c r="W11" s="3"/>
      <c r="X11" s="19"/>
      <c r="Z11" s="3"/>
      <c r="AA11" s="3"/>
      <c r="AB11" s="20"/>
      <c r="AD11" s="3"/>
      <c r="AE11" s="3"/>
      <c r="AF11" s="3"/>
      <c r="AG11" s="3"/>
      <c r="AH11" s="21"/>
    </row>
    <row r="12" spans="1:34" x14ac:dyDescent="0.3">
      <c r="A12" s="3" t="s">
        <v>380</v>
      </c>
      <c r="B12" s="3" t="s">
        <v>381</v>
      </c>
      <c r="C12" s="3" t="s">
        <v>382</v>
      </c>
      <c r="D12" s="3">
        <v>2</v>
      </c>
      <c r="E12" s="3">
        <v>0.02</v>
      </c>
      <c r="F12" s="3">
        <v>5</v>
      </c>
      <c r="G12" s="3">
        <v>0.04</v>
      </c>
      <c r="H12" s="3" t="s">
        <v>204</v>
      </c>
      <c r="I12" s="3" t="s">
        <v>362</v>
      </c>
      <c r="J12" s="3" t="s">
        <v>383</v>
      </c>
      <c r="K12" s="3" t="s">
        <v>364</v>
      </c>
      <c r="L12" s="3" t="s">
        <v>371</v>
      </c>
      <c r="M12" s="3" t="s">
        <v>123</v>
      </c>
      <c r="N12" s="19" t="s">
        <v>366</v>
      </c>
      <c r="O12" s="3" t="s">
        <v>384</v>
      </c>
      <c r="P12" s="3" t="s">
        <v>385</v>
      </c>
      <c r="R12" s="20" t="s">
        <v>127</v>
      </c>
      <c r="S12" s="3"/>
      <c r="T12" s="3"/>
      <c r="V12" s="3"/>
      <c r="W12" s="3"/>
      <c r="X12" s="19"/>
      <c r="Z12" s="3"/>
      <c r="AA12" s="3"/>
      <c r="AB12" s="20"/>
      <c r="AD12" s="3"/>
      <c r="AE12" s="3"/>
      <c r="AF12" s="3"/>
      <c r="AG12" s="3"/>
      <c r="AH12" s="21"/>
    </row>
    <row r="13" spans="1:34" x14ac:dyDescent="0.3">
      <c r="A13" s="3" t="s">
        <v>386</v>
      </c>
      <c r="B13" s="3" t="s">
        <v>387</v>
      </c>
      <c r="C13" s="3" t="s">
        <v>388</v>
      </c>
      <c r="D13" s="3">
        <v>3</v>
      </c>
      <c r="E13" s="3">
        <v>2.5000000000000001E-2</v>
      </c>
      <c r="F13" s="3">
        <v>5</v>
      </c>
      <c r="G13" s="3">
        <v>7.4999999999999997E-2</v>
      </c>
      <c r="H13" s="3" t="s">
        <v>120</v>
      </c>
      <c r="I13" s="3" t="s">
        <v>362</v>
      </c>
      <c r="J13" s="3" t="s">
        <v>389</v>
      </c>
      <c r="K13" s="3" t="s">
        <v>364</v>
      </c>
      <c r="L13" s="3" t="s">
        <v>365</v>
      </c>
      <c r="M13" s="3" t="s">
        <v>123</v>
      </c>
      <c r="N13" s="19" t="s">
        <v>366</v>
      </c>
      <c r="O13" s="3" t="s">
        <v>390</v>
      </c>
      <c r="P13" s="3" t="s">
        <v>391</v>
      </c>
      <c r="R13" s="20" t="s">
        <v>127</v>
      </c>
      <c r="S13" s="3"/>
      <c r="T13" s="3"/>
      <c r="V13" s="3"/>
      <c r="W13" s="3"/>
      <c r="X13" s="19"/>
      <c r="Z13" s="3"/>
      <c r="AA13" s="3"/>
      <c r="AB13" s="20"/>
      <c r="AD13" s="3"/>
      <c r="AE13" s="3"/>
      <c r="AF13" s="3"/>
      <c r="AG13" s="3"/>
      <c r="AH13" s="21"/>
    </row>
    <row r="14" spans="1:34" x14ac:dyDescent="0.3">
      <c r="A14" s="3" t="s">
        <v>392</v>
      </c>
      <c r="B14" s="3" t="s">
        <v>393</v>
      </c>
      <c r="C14" s="3" t="s">
        <v>394</v>
      </c>
      <c r="D14" s="3">
        <v>2</v>
      </c>
      <c r="E14" s="3">
        <v>2.5000000000000001E-2</v>
      </c>
      <c r="F14" s="3">
        <v>5</v>
      </c>
      <c r="G14" s="3">
        <v>0.04</v>
      </c>
      <c r="H14" s="3" t="s">
        <v>120</v>
      </c>
      <c r="I14" s="3" t="s">
        <v>362</v>
      </c>
      <c r="J14" s="3" t="s">
        <v>395</v>
      </c>
      <c r="K14" s="3" t="s">
        <v>364</v>
      </c>
      <c r="L14" s="3" t="s">
        <v>365</v>
      </c>
      <c r="M14" s="3" t="s">
        <v>123</v>
      </c>
      <c r="N14" s="19" t="s">
        <v>366</v>
      </c>
      <c r="O14" s="3" t="s">
        <v>396</v>
      </c>
      <c r="P14" s="3" t="s">
        <v>397</v>
      </c>
      <c r="R14" s="20" t="s">
        <v>127</v>
      </c>
      <c r="S14" s="3"/>
      <c r="T14" s="3"/>
      <c r="V14" s="3"/>
      <c r="W14" s="3"/>
      <c r="X14" s="19"/>
      <c r="Z14" s="3"/>
      <c r="AA14" s="3"/>
      <c r="AB14" s="20"/>
      <c r="AD14" s="3"/>
      <c r="AE14" s="3"/>
      <c r="AF14" s="3"/>
      <c r="AG14" s="3"/>
      <c r="AH14" s="21"/>
    </row>
    <row r="15" spans="1:34" x14ac:dyDescent="0.3">
      <c r="A15" s="3" t="s">
        <v>398</v>
      </c>
      <c r="B15" s="3" t="s">
        <v>399</v>
      </c>
      <c r="C15" s="3" t="s">
        <v>394</v>
      </c>
      <c r="D15" s="3">
        <v>2</v>
      </c>
      <c r="E15" s="3">
        <v>0.02</v>
      </c>
      <c r="F15" s="3">
        <v>5</v>
      </c>
      <c r="G15" s="3">
        <v>0.04</v>
      </c>
      <c r="H15" s="3" t="s">
        <v>204</v>
      </c>
      <c r="I15" s="3" t="s">
        <v>362</v>
      </c>
      <c r="J15" s="3" t="s">
        <v>395</v>
      </c>
      <c r="K15" s="3" t="s">
        <v>364</v>
      </c>
      <c r="L15" s="3" t="s">
        <v>371</v>
      </c>
      <c r="M15" s="3" t="s">
        <v>123</v>
      </c>
      <c r="N15" s="19" t="s">
        <v>366</v>
      </c>
      <c r="O15" s="3" t="s">
        <v>400</v>
      </c>
      <c r="P15" s="3" t="s">
        <v>401</v>
      </c>
      <c r="R15" s="20" t="s">
        <v>127</v>
      </c>
      <c r="S15" s="3"/>
      <c r="T15" s="3"/>
      <c r="V15" s="3"/>
      <c r="W15" s="3"/>
      <c r="X15" s="19"/>
      <c r="Z15" s="3"/>
      <c r="AA15" s="3"/>
      <c r="AB15" s="20"/>
      <c r="AD15" s="3"/>
      <c r="AE15" s="3"/>
      <c r="AF15" s="3"/>
      <c r="AG15" s="3"/>
      <c r="AH15" s="21"/>
    </row>
  </sheetData>
  <dataValidations count="5">
    <dataValidation type="list" allowBlank="1" sqref="H2:H1000" xr:uid="{00000000-0002-0000-0500-000000000000}">
      <formula1>enum_package</formula1>
      <formula2>0</formula2>
    </dataValidation>
    <dataValidation type="list" allowBlank="1" sqref="I2:I1000" xr:uid="{00000000-0002-0000-0500-000001000000}">
      <formula1>enum_dio_techno</formula1>
      <formula2>0</formula2>
    </dataValidation>
    <dataValidation type="list" allowBlank="1" sqref="N2:N1000 S2:S1000 X2:X1000 AC2:AC1000" xr:uid="{00000000-0002-0000-0500-000002000000}">
      <formula1>enum_mfn</formula1>
      <formula2>0</formula2>
    </dataValidation>
    <dataValidation type="list" allowBlank="1" sqref="R2:R1000 W2:W1000 AB2:AB1000 AG2:AG1000" xr:uid="{00000000-0002-0000-0500-000003000000}">
      <formula1>enum_status</formula1>
      <formula2>0</formula2>
    </dataValidation>
    <dataValidation type="list" allowBlank="1" sqref="Q2:Q1000 V2:V1000 AA2:AA1000 AF2:AF1000" xr:uid="{00000000-0002-0000-0500-000004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8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45" customWidth="1"/>
    <col min="3" max="3" width="12" customWidth="1"/>
    <col min="4" max="4" width="20" customWidth="1"/>
    <col min="5" max="5" width="21" customWidth="1"/>
    <col min="6" max="6" width="11" customWidth="1"/>
    <col min="7" max="7" width="15.77734375" style="8" customWidth="1"/>
    <col min="8" max="10" width="15.77734375" customWidth="1"/>
    <col min="11" max="11" width="15.77734375" style="9" customWidth="1"/>
    <col min="12" max="16" width="15.77734375" customWidth="1"/>
    <col min="17" max="17" width="15.77734375" style="8" customWidth="1"/>
    <col min="18" max="20" width="15.77734375" customWidth="1"/>
    <col min="21" max="21" width="15.77734375" style="9" customWidth="1"/>
    <col min="22" max="26" width="15.77734375" customWidth="1"/>
    <col min="27" max="27" width="15.77734375" style="10" customWidth="1"/>
  </cols>
  <sheetData>
    <row r="1" spans="1:27" ht="27.75" customHeight="1" x14ac:dyDescent="0.3">
      <c r="A1" s="11" t="s">
        <v>70</v>
      </c>
      <c r="B1" s="11" t="s">
        <v>3</v>
      </c>
      <c r="C1" s="11" t="s">
        <v>72</v>
      </c>
      <c r="D1" s="11" t="s">
        <v>75</v>
      </c>
      <c r="E1" s="11" t="s">
        <v>76</v>
      </c>
      <c r="F1" s="11" t="s">
        <v>77</v>
      </c>
      <c r="G1" s="13" t="s">
        <v>78</v>
      </c>
      <c r="H1" s="14" t="s">
        <v>79</v>
      </c>
      <c r="I1" s="14" t="s">
        <v>80</v>
      </c>
      <c r="J1" s="14" t="s">
        <v>81</v>
      </c>
      <c r="K1" s="16" t="s">
        <v>82</v>
      </c>
      <c r="L1" s="14" t="s">
        <v>83</v>
      </c>
      <c r="M1" s="14" t="s">
        <v>84</v>
      </c>
      <c r="N1" s="14" t="s">
        <v>85</v>
      </c>
      <c r="O1" s="14" t="s">
        <v>86</v>
      </c>
      <c r="P1" s="14" t="s">
        <v>87</v>
      </c>
      <c r="Q1" s="13" t="s">
        <v>88</v>
      </c>
      <c r="R1" s="14" t="s">
        <v>89</v>
      </c>
      <c r="S1" s="14" t="s">
        <v>90</v>
      </c>
      <c r="T1" s="14" t="s">
        <v>91</v>
      </c>
      <c r="U1" s="16" t="s">
        <v>92</v>
      </c>
      <c r="V1" s="14" t="s">
        <v>93</v>
      </c>
      <c r="W1" s="14" t="s">
        <v>94</v>
      </c>
      <c r="X1" s="14" t="s">
        <v>95</v>
      </c>
      <c r="Y1" s="14" t="s">
        <v>96</v>
      </c>
      <c r="Z1" s="14" t="s">
        <v>97</v>
      </c>
      <c r="AA1" s="17" t="s">
        <v>98</v>
      </c>
    </row>
    <row r="2" spans="1:27" x14ac:dyDescent="0.3">
      <c r="A2" s="3" t="s">
        <v>402</v>
      </c>
      <c r="B2" s="3" t="s">
        <v>403</v>
      </c>
      <c r="C2" s="3" t="s">
        <v>404</v>
      </c>
      <c r="D2" s="3" t="s">
        <v>405</v>
      </c>
      <c r="E2" s="3" t="s">
        <v>406</v>
      </c>
      <c r="F2" s="3" t="s">
        <v>123</v>
      </c>
      <c r="G2" s="19" t="s">
        <v>123</v>
      </c>
      <c r="H2" s="3" t="s">
        <v>123</v>
      </c>
      <c r="I2" s="3" t="s">
        <v>123</v>
      </c>
      <c r="K2" s="20" t="s">
        <v>127</v>
      </c>
      <c r="L2" s="3"/>
      <c r="M2" s="3"/>
      <c r="O2" s="3"/>
      <c r="P2" s="3"/>
      <c r="Q2" s="19"/>
      <c r="S2" s="3"/>
      <c r="T2" s="3"/>
      <c r="U2" s="20"/>
      <c r="W2" s="3"/>
      <c r="X2" s="3"/>
      <c r="Y2" s="3"/>
      <c r="Z2" s="3"/>
      <c r="AA2" s="21"/>
    </row>
    <row r="3" spans="1:27" x14ac:dyDescent="0.3">
      <c r="A3" s="3" t="s">
        <v>407</v>
      </c>
      <c r="B3" s="3" t="s">
        <v>408</v>
      </c>
      <c r="C3" s="3" t="s">
        <v>409</v>
      </c>
      <c r="D3" s="3" t="s">
        <v>410</v>
      </c>
      <c r="E3" s="3" t="s">
        <v>411</v>
      </c>
      <c r="F3" s="3" t="s">
        <v>123</v>
      </c>
      <c r="G3" s="19" t="s">
        <v>123</v>
      </c>
      <c r="H3" s="3" t="s">
        <v>123</v>
      </c>
      <c r="I3" s="3" t="s">
        <v>123</v>
      </c>
      <c r="K3" s="20" t="s">
        <v>127</v>
      </c>
      <c r="L3" s="3"/>
      <c r="M3" s="3"/>
      <c r="O3" s="3"/>
      <c r="P3" s="3"/>
      <c r="Q3" s="19"/>
      <c r="S3" s="3"/>
      <c r="T3" s="3"/>
      <c r="U3" s="20"/>
      <c r="W3" s="3"/>
      <c r="X3" s="3"/>
      <c r="Y3" s="3"/>
      <c r="Z3" s="3"/>
      <c r="AA3" s="21"/>
    </row>
    <row r="4" spans="1:27" x14ac:dyDescent="0.3">
      <c r="A4" s="3" t="s">
        <v>412</v>
      </c>
      <c r="B4" s="3" t="s">
        <v>413</v>
      </c>
      <c r="C4" s="3" t="s">
        <v>414</v>
      </c>
      <c r="D4" s="3" t="s">
        <v>415</v>
      </c>
      <c r="E4" s="3" t="s">
        <v>416</v>
      </c>
      <c r="F4" s="3" t="s">
        <v>123</v>
      </c>
      <c r="G4" s="19" t="s">
        <v>123</v>
      </c>
      <c r="H4" s="3" t="s">
        <v>123</v>
      </c>
      <c r="I4" s="3" t="s">
        <v>123</v>
      </c>
      <c r="K4" s="20" t="s">
        <v>127</v>
      </c>
      <c r="L4" s="3"/>
      <c r="M4" s="3"/>
      <c r="O4" s="3"/>
      <c r="P4" s="3"/>
      <c r="Q4" s="19"/>
      <c r="S4" s="3"/>
      <c r="T4" s="3"/>
      <c r="U4" s="20"/>
      <c r="W4" s="3"/>
      <c r="X4" s="3"/>
      <c r="Y4" s="3"/>
      <c r="Z4" s="3"/>
      <c r="AA4" s="21"/>
    </row>
    <row r="5" spans="1:27" x14ac:dyDescent="0.3">
      <c r="A5" s="3" t="s">
        <v>417</v>
      </c>
      <c r="B5" s="3" t="s">
        <v>418</v>
      </c>
      <c r="C5" s="3" t="s">
        <v>419</v>
      </c>
      <c r="D5" s="3" t="s">
        <v>420</v>
      </c>
      <c r="E5" s="3" t="s">
        <v>421</v>
      </c>
      <c r="F5" s="3" t="s">
        <v>123</v>
      </c>
      <c r="G5" s="19" t="s">
        <v>123</v>
      </c>
      <c r="H5" s="3" t="s">
        <v>123</v>
      </c>
      <c r="I5" s="3" t="s">
        <v>123</v>
      </c>
      <c r="K5" s="20" t="s">
        <v>127</v>
      </c>
      <c r="L5" s="3"/>
      <c r="M5" s="3"/>
      <c r="O5" s="3"/>
      <c r="P5" s="3"/>
      <c r="Q5" s="19"/>
      <c r="S5" s="3"/>
      <c r="T5" s="3"/>
      <c r="U5" s="20"/>
      <c r="W5" s="3"/>
      <c r="X5" s="3"/>
      <c r="Y5" s="3"/>
      <c r="Z5" s="3"/>
      <c r="AA5" s="21"/>
    </row>
    <row r="6" spans="1:27" x14ac:dyDescent="0.3">
      <c r="A6" s="3" t="s">
        <v>422</v>
      </c>
      <c r="B6" s="3" t="s">
        <v>423</v>
      </c>
      <c r="C6" s="3" t="s">
        <v>424</v>
      </c>
      <c r="D6" s="3" t="s">
        <v>420</v>
      </c>
      <c r="E6" s="3" t="s">
        <v>425</v>
      </c>
      <c r="F6" s="3" t="s">
        <v>123</v>
      </c>
      <c r="G6" s="19" t="s">
        <v>123</v>
      </c>
      <c r="H6" s="3" t="s">
        <v>123</v>
      </c>
      <c r="I6" s="3" t="s">
        <v>123</v>
      </c>
      <c r="K6" s="20" t="s">
        <v>127</v>
      </c>
      <c r="L6" s="3"/>
      <c r="M6" s="3"/>
      <c r="O6" s="3"/>
      <c r="P6" s="3"/>
      <c r="Q6" s="19"/>
      <c r="S6" s="3"/>
      <c r="T6" s="3"/>
      <c r="U6" s="20"/>
      <c r="W6" s="3"/>
      <c r="X6" s="3"/>
      <c r="Y6" s="3"/>
      <c r="Z6" s="3"/>
      <c r="AA6" s="21"/>
    </row>
    <row r="7" spans="1:27" x14ac:dyDescent="0.3">
      <c r="A7" s="3" t="s">
        <v>426</v>
      </c>
      <c r="B7" s="3" t="s">
        <v>427</v>
      </c>
      <c r="C7" s="3" t="s">
        <v>428</v>
      </c>
      <c r="D7" s="3" t="s">
        <v>429</v>
      </c>
      <c r="E7" s="3" t="s">
        <v>430</v>
      </c>
      <c r="F7" s="3" t="s">
        <v>123</v>
      </c>
      <c r="G7" s="19" t="s">
        <v>431</v>
      </c>
      <c r="H7" s="3" t="s">
        <v>432</v>
      </c>
      <c r="I7" s="3" t="s">
        <v>433</v>
      </c>
      <c r="K7" s="20" t="s">
        <v>127</v>
      </c>
      <c r="L7" s="3" t="s">
        <v>434</v>
      </c>
      <c r="M7" s="3" t="s">
        <v>435</v>
      </c>
      <c r="O7" s="3" t="s">
        <v>436</v>
      </c>
      <c r="P7" s="3" t="s">
        <v>265</v>
      </c>
      <c r="Q7" s="19"/>
      <c r="S7" s="3"/>
      <c r="T7" s="3"/>
      <c r="U7" s="20"/>
      <c r="W7" s="3"/>
      <c r="X7" s="3"/>
      <c r="Y7" s="3"/>
      <c r="Z7" s="3"/>
      <c r="AA7" s="21"/>
    </row>
    <row r="8" spans="1:27" x14ac:dyDescent="0.3">
      <c r="A8" s="3" t="s">
        <v>437</v>
      </c>
      <c r="B8" s="3" t="s">
        <v>438</v>
      </c>
      <c r="C8" s="3" t="s">
        <v>439</v>
      </c>
      <c r="D8" s="3" t="s">
        <v>429</v>
      </c>
      <c r="E8" s="3" t="s">
        <v>440</v>
      </c>
      <c r="F8" s="3" t="s">
        <v>123</v>
      </c>
      <c r="G8" s="19" t="s">
        <v>431</v>
      </c>
      <c r="H8" s="3" t="s">
        <v>441</v>
      </c>
      <c r="I8" s="3" t="s">
        <v>442</v>
      </c>
      <c r="K8" s="20" t="s">
        <v>127</v>
      </c>
      <c r="L8" s="3" t="s">
        <v>434</v>
      </c>
      <c r="M8" s="3" t="s">
        <v>443</v>
      </c>
      <c r="O8" s="3" t="s">
        <v>442</v>
      </c>
      <c r="P8" s="3" t="s">
        <v>265</v>
      </c>
      <c r="Q8" s="19"/>
      <c r="S8" s="3"/>
      <c r="T8" s="3"/>
      <c r="U8" s="20"/>
      <c r="W8" s="3"/>
      <c r="X8" s="3"/>
      <c r="Y8" s="3"/>
      <c r="Z8" s="3"/>
      <c r="AA8" s="21"/>
    </row>
  </sheetData>
  <dataValidations count="3">
    <dataValidation type="list" allowBlank="1" sqref="G2:G1000 L2:L1000 Q2:Q1000 V2:V1000" xr:uid="{00000000-0002-0000-0600-000000000000}">
      <formula1>enum_mfn</formula1>
      <formula2>0</formula2>
    </dataValidation>
    <dataValidation type="list" allowBlank="1" sqref="K2:K1000 P2:P1000 U2:U1000 Z2:Z1000" xr:uid="{00000000-0002-0000-0600-000001000000}">
      <formula1>enum_status</formula1>
      <formula2>0</formula2>
    </dataValidation>
    <dataValidation type="list" allowBlank="1" sqref="J2:J1000 O2:O1000 T2:T1000 Y2:Y1000" xr:uid="{00000000-0002-0000-0600-000002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5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22" customWidth="1"/>
    <col min="3" max="3" width="44" customWidth="1"/>
    <col min="4" max="4" width="12" customWidth="1"/>
    <col min="5" max="5" width="19" customWidth="1"/>
    <col min="6" max="6" width="24" customWidth="1"/>
    <col min="7" max="7" width="20" customWidth="1"/>
    <col min="8" max="9" width="45" customWidth="1"/>
    <col min="10" max="10" width="15.77734375" style="8" customWidth="1"/>
    <col min="11" max="13" width="15.77734375" customWidth="1"/>
    <col min="14" max="14" width="15.77734375" style="9" customWidth="1"/>
    <col min="15" max="19" width="15.77734375" customWidth="1"/>
    <col min="20" max="20" width="15.77734375" style="8" customWidth="1"/>
    <col min="21" max="23" width="15.77734375" customWidth="1"/>
    <col min="24" max="24" width="15.77734375" style="9" customWidth="1"/>
    <col min="25" max="29" width="15.77734375" customWidth="1"/>
    <col min="30" max="30" width="15.77734375" style="10" customWidth="1"/>
  </cols>
  <sheetData>
    <row r="1" spans="1:30" ht="27.75" customHeight="1" x14ac:dyDescent="0.3">
      <c r="A1" s="11" t="s">
        <v>70</v>
      </c>
      <c r="B1" s="11" t="s">
        <v>286</v>
      </c>
      <c r="C1" s="11" t="s">
        <v>3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3" t="s">
        <v>78</v>
      </c>
      <c r="K1" s="14" t="s">
        <v>79</v>
      </c>
      <c r="L1" s="14" t="s">
        <v>80</v>
      </c>
      <c r="M1" s="14" t="s">
        <v>81</v>
      </c>
      <c r="N1" s="16" t="s">
        <v>82</v>
      </c>
      <c r="O1" s="14" t="s">
        <v>83</v>
      </c>
      <c r="P1" s="14" t="s">
        <v>84</v>
      </c>
      <c r="Q1" s="14" t="s">
        <v>85</v>
      </c>
      <c r="R1" s="14" t="s">
        <v>86</v>
      </c>
      <c r="S1" s="14" t="s">
        <v>87</v>
      </c>
      <c r="T1" s="13" t="s">
        <v>88</v>
      </c>
      <c r="U1" s="14" t="s">
        <v>89</v>
      </c>
      <c r="V1" s="14" t="s">
        <v>90</v>
      </c>
      <c r="W1" s="14" t="s">
        <v>91</v>
      </c>
      <c r="X1" s="16" t="s">
        <v>92</v>
      </c>
      <c r="Y1" s="14" t="s">
        <v>93</v>
      </c>
      <c r="Z1" s="14" t="s">
        <v>94</v>
      </c>
      <c r="AA1" s="14" t="s">
        <v>95</v>
      </c>
      <c r="AB1" s="14" t="s">
        <v>96</v>
      </c>
      <c r="AC1" s="14" t="s">
        <v>97</v>
      </c>
      <c r="AD1" s="17" t="s">
        <v>98</v>
      </c>
    </row>
    <row r="2" spans="1:30" x14ac:dyDescent="0.3">
      <c r="A2" s="3" t="s">
        <v>444</v>
      </c>
      <c r="B2" s="3"/>
      <c r="C2" s="3" t="s">
        <v>445</v>
      </c>
      <c r="D2" s="3" t="s">
        <v>446</v>
      </c>
      <c r="E2" s="3" t="s">
        <v>447</v>
      </c>
      <c r="F2" s="3" t="s">
        <v>448</v>
      </c>
      <c r="G2" s="3" t="s">
        <v>449</v>
      </c>
      <c r="H2" s="3" t="s">
        <v>450</v>
      </c>
      <c r="I2" s="3" t="s">
        <v>451</v>
      </c>
      <c r="J2" s="19" t="s">
        <v>299</v>
      </c>
      <c r="K2" s="3" t="s">
        <v>452</v>
      </c>
      <c r="L2" s="3" t="s">
        <v>453</v>
      </c>
      <c r="N2" s="20" t="s">
        <v>127</v>
      </c>
      <c r="O2" s="3"/>
      <c r="P2" s="3"/>
      <c r="R2" s="3"/>
      <c r="S2" s="3"/>
      <c r="T2" s="19"/>
      <c r="V2" s="3"/>
      <c r="W2" s="3"/>
      <c r="X2" s="20"/>
      <c r="Z2" s="3"/>
      <c r="AA2" s="3"/>
      <c r="AB2" s="3"/>
      <c r="AC2" s="3"/>
      <c r="AD2" s="21"/>
    </row>
    <row r="3" spans="1:30" x14ac:dyDescent="0.3">
      <c r="A3" s="3" t="s">
        <v>454</v>
      </c>
      <c r="B3" s="3"/>
      <c r="C3" s="3" t="s">
        <v>455</v>
      </c>
      <c r="D3" s="3" t="s">
        <v>456</v>
      </c>
      <c r="E3" s="3" t="s">
        <v>457</v>
      </c>
      <c r="F3" s="3" t="s">
        <v>448</v>
      </c>
      <c r="G3" s="3" t="s">
        <v>458</v>
      </c>
      <c r="H3" s="3" t="s">
        <v>459</v>
      </c>
      <c r="I3" s="3" t="s">
        <v>460</v>
      </c>
      <c r="J3" s="19" t="s">
        <v>299</v>
      </c>
      <c r="K3" s="3" t="s">
        <v>461</v>
      </c>
      <c r="L3" s="3" t="s">
        <v>462</v>
      </c>
      <c r="N3" s="20" t="s">
        <v>127</v>
      </c>
      <c r="O3" s="3"/>
      <c r="P3" s="3"/>
      <c r="R3" s="3"/>
      <c r="S3" s="3"/>
      <c r="T3" s="19"/>
      <c r="V3" s="3"/>
      <c r="W3" s="3"/>
      <c r="X3" s="20"/>
      <c r="Z3" s="3"/>
      <c r="AA3" s="3"/>
      <c r="AB3" s="3"/>
      <c r="AC3" s="3"/>
      <c r="AD3" s="21"/>
    </row>
    <row r="4" spans="1:30" x14ac:dyDescent="0.3">
      <c r="A4" s="3" t="s">
        <v>463</v>
      </c>
      <c r="B4" s="3"/>
      <c r="C4" s="3" t="s">
        <v>464</v>
      </c>
      <c r="D4" s="3" t="s">
        <v>465</v>
      </c>
      <c r="E4" s="3" t="s">
        <v>466</v>
      </c>
      <c r="F4" s="3" t="s">
        <v>467</v>
      </c>
      <c r="G4" s="3" t="s">
        <v>468</v>
      </c>
      <c r="H4" s="3" t="s">
        <v>469</v>
      </c>
      <c r="I4" s="3" t="s">
        <v>470</v>
      </c>
      <c r="J4" s="19" t="s">
        <v>299</v>
      </c>
      <c r="K4" s="3" t="s">
        <v>471</v>
      </c>
      <c r="L4" s="3" t="s">
        <v>227</v>
      </c>
      <c r="N4" s="20" t="s">
        <v>127</v>
      </c>
      <c r="O4" s="3"/>
      <c r="P4" s="3"/>
      <c r="R4" s="3"/>
      <c r="S4" s="3"/>
      <c r="T4" s="19"/>
      <c r="V4" s="3"/>
      <c r="W4" s="3"/>
      <c r="X4" s="20"/>
      <c r="Z4" s="3"/>
      <c r="AA4" s="3"/>
      <c r="AB4" s="3"/>
      <c r="AC4" s="3"/>
      <c r="AD4" s="21"/>
    </row>
    <row r="5" spans="1:30" x14ac:dyDescent="0.3">
      <c r="A5" s="3" t="s">
        <v>472</v>
      </c>
      <c r="B5" s="3"/>
      <c r="C5" s="3" t="s">
        <v>473</v>
      </c>
      <c r="D5" s="3" t="s">
        <v>474</v>
      </c>
      <c r="E5" s="3" t="s">
        <v>475</v>
      </c>
      <c r="F5" s="3" t="s">
        <v>473</v>
      </c>
      <c r="G5" s="3" t="s">
        <v>476</v>
      </c>
      <c r="H5" s="3" t="s">
        <v>477</v>
      </c>
      <c r="I5" s="3" t="s">
        <v>478</v>
      </c>
      <c r="J5" s="19" t="s">
        <v>299</v>
      </c>
      <c r="K5" s="3" t="s">
        <v>479</v>
      </c>
      <c r="L5" s="3" t="s">
        <v>480</v>
      </c>
      <c r="N5" s="20" t="s">
        <v>127</v>
      </c>
      <c r="O5" s="3"/>
      <c r="P5" s="3"/>
      <c r="R5" s="3"/>
      <c r="S5" s="3"/>
      <c r="T5" s="19"/>
      <c r="V5" s="3"/>
      <c r="W5" s="3"/>
      <c r="X5" s="20"/>
      <c r="Z5" s="3"/>
      <c r="AA5" s="3"/>
      <c r="AB5" s="3"/>
      <c r="AC5" s="3"/>
      <c r="AD5" s="21"/>
    </row>
  </sheetData>
  <dataValidations count="5">
    <dataValidation type="list" allowBlank="1" sqref="E2:E1000" xr:uid="{00000000-0002-0000-0700-000000000000}">
      <formula1>enum_package</formula1>
      <formula2>0</formula2>
    </dataValidation>
    <dataValidation type="list" allowBlank="1" sqref="F2:F1000" xr:uid="{00000000-0002-0000-0700-000001000000}">
      <formula1>enum_ics_techno</formula1>
      <formula2>0</formula2>
    </dataValidation>
    <dataValidation type="list" allowBlank="1" sqref="J2:J1000 O2:O1000 T2:T1000 Y2:Y1000" xr:uid="{00000000-0002-0000-0700-000002000000}">
      <formula1>enum_mfn</formula1>
      <formula2>0</formula2>
    </dataValidation>
    <dataValidation type="list" allowBlank="1" sqref="N2:N1000 S2:S1000 X2:X1000 AC2:AC1000" xr:uid="{00000000-0002-0000-0700-000003000000}">
      <formula1>enum_status</formula1>
      <formula2>0</formula2>
    </dataValidation>
    <dataValidation type="list" allowBlank="1" sqref="M2:M1000 R2:R1000 W2:W1000 AB2:AB1000" xr:uid="{00000000-0002-0000-0700-000004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3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37" customWidth="1"/>
    <col min="3" max="5" width="10" customWidth="1"/>
    <col min="6" max="6" width="19" customWidth="1"/>
    <col min="7" max="7" width="12" customWidth="1"/>
    <col min="8" max="9" width="20" customWidth="1"/>
    <col min="10" max="10" width="45" customWidth="1"/>
    <col min="11" max="11" width="15.77734375" style="8" customWidth="1"/>
    <col min="12" max="14" width="15.77734375" customWidth="1"/>
    <col min="15" max="15" width="15.77734375" style="9" customWidth="1"/>
    <col min="16" max="20" width="15.77734375" customWidth="1"/>
    <col min="21" max="21" width="15.77734375" style="8" customWidth="1"/>
    <col min="22" max="24" width="15.77734375" customWidth="1"/>
    <col min="25" max="25" width="15.77734375" style="9" customWidth="1"/>
    <col min="26" max="30" width="15.77734375" customWidth="1"/>
    <col min="31" max="31" width="15.77734375" style="10" customWidth="1"/>
  </cols>
  <sheetData>
    <row r="1" spans="1:31" ht="27.75" customHeight="1" x14ac:dyDescent="0.3">
      <c r="A1" s="11" t="s">
        <v>70</v>
      </c>
      <c r="B1" s="11" t="s">
        <v>3</v>
      </c>
      <c r="C1" s="11" t="s">
        <v>72</v>
      </c>
      <c r="D1" s="11" t="s">
        <v>481</v>
      </c>
      <c r="E1" s="11" t="s">
        <v>482</v>
      </c>
      <c r="F1" s="11" t="s">
        <v>73</v>
      </c>
      <c r="G1" s="11" t="s">
        <v>74</v>
      </c>
      <c r="H1" s="11" t="s">
        <v>75</v>
      </c>
      <c r="I1" s="11" t="s">
        <v>76</v>
      </c>
      <c r="J1" s="11" t="s">
        <v>77</v>
      </c>
      <c r="K1" s="13" t="s">
        <v>78</v>
      </c>
      <c r="L1" s="14" t="s">
        <v>79</v>
      </c>
      <c r="M1" s="14" t="s">
        <v>80</v>
      </c>
      <c r="N1" s="14" t="s">
        <v>81</v>
      </c>
      <c r="O1" s="16" t="s">
        <v>82</v>
      </c>
      <c r="P1" s="14" t="s">
        <v>83</v>
      </c>
      <c r="Q1" s="14" t="s">
        <v>84</v>
      </c>
      <c r="R1" s="14" t="s">
        <v>85</v>
      </c>
      <c r="S1" s="14" t="s">
        <v>86</v>
      </c>
      <c r="T1" s="14" t="s">
        <v>87</v>
      </c>
      <c r="U1" s="13" t="s">
        <v>88</v>
      </c>
      <c r="V1" s="14" t="s">
        <v>89</v>
      </c>
      <c r="W1" s="14" t="s">
        <v>90</v>
      </c>
      <c r="X1" s="14" t="s">
        <v>91</v>
      </c>
      <c r="Y1" s="16" t="s">
        <v>92</v>
      </c>
      <c r="Z1" s="14" t="s">
        <v>93</v>
      </c>
      <c r="AA1" s="14" t="s">
        <v>94</v>
      </c>
      <c r="AB1" s="14" t="s">
        <v>95</v>
      </c>
      <c r="AC1" s="14" t="s">
        <v>96</v>
      </c>
      <c r="AD1" s="14" t="s">
        <v>97</v>
      </c>
      <c r="AE1" s="17" t="s">
        <v>98</v>
      </c>
    </row>
    <row r="2" spans="1:31" ht="39.75" customHeight="1" x14ac:dyDescent="0.3">
      <c r="A2" s="3" t="s">
        <v>483</v>
      </c>
      <c r="B2" s="3" t="s">
        <v>484</v>
      </c>
      <c r="C2" s="3" t="s">
        <v>181</v>
      </c>
      <c r="D2" s="3">
        <v>0.76</v>
      </c>
      <c r="E2" s="3">
        <v>350</v>
      </c>
      <c r="F2" s="3" t="s">
        <v>485</v>
      </c>
      <c r="G2" s="3" t="s">
        <v>486</v>
      </c>
      <c r="H2" s="3" t="s">
        <v>487</v>
      </c>
      <c r="I2" s="3" t="s">
        <v>488</v>
      </c>
      <c r="J2" s="3" t="s">
        <v>489</v>
      </c>
      <c r="K2" s="19" t="s">
        <v>490</v>
      </c>
      <c r="L2" s="3" t="s">
        <v>491</v>
      </c>
      <c r="M2" s="3" t="s">
        <v>492</v>
      </c>
      <c r="O2" s="20" t="s">
        <v>127</v>
      </c>
      <c r="P2" s="3" t="s">
        <v>493</v>
      </c>
      <c r="Q2" s="35" t="s">
        <v>494</v>
      </c>
      <c r="S2" s="3" t="s">
        <v>227</v>
      </c>
      <c r="T2" s="3" t="s">
        <v>110</v>
      </c>
      <c r="U2" s="19"/>
      <c r="W2" s="3"/>
      <c r="X2" s="3"/>
      <c r="Y2" s="20"/>
      <c r="AA2" s="3"/>
      <c r="AB2" s="3"/>
      <c r="AC2" s="3"/>
      <c r="AD2" s="3"/>
      <c r="AE2" s="21"/>
    </row>
    <row r="3" spans="1:31" x14ac:dyDescent="0.3">
      <c r="A3" s="3" t="s">
        <v>495</v>
      </c>
      <c r="B3" s="3" t="s">
        <v>496</v>
      </c>
      <c r="C3" s="3" t="s">
        <v>191</v>
      </c>
      <c r="D3" s="3">
        <v>1.2</v>
      </c>
      <c r="E3" s="3">
        <v>160</v>
      </c>
      <c r="F3" s="3" t="s">
        <v>497</v>
      </c>
      <c r="G3" s="3" t="s">
        <v>486</v>
      </c>
      <c r="H3" s="3" t="s">
        <v>487</v>
      </c>
      <c r="I3" s="3" t="s">
        <v>498</v>
      </c>
      <c r="J3" s="3" t="s">
        <v>499</v>
      </c>
      <c r="K3" s="19" t="s">
        <v>490</v>
      </c>
      <c r="L3" s="3" t="s">
        <v>500</v>
      </c>
      <c r="M3" s="3" t="s">
        <v>501</v>
      </c>
      <c r="O3" s="20" t="s">
        <v>127</v>
      </c>
      <c r="P3" s="3" t="s">
        <v>502</v>
      </c>
      <c r="Q3" s="3" t="s">
        <v>503</v>
      </c>
      <c r="S3" s="3" t="s">
        <v>504</v>
      </c>
      <c r="T3" s="3" t="s">
        <v>110</v>
      </c>
      <c r="U3" s="19"/>
      <c r="W3" s="3"/>
      <c r="X3" s="3"/>
      <c r="Y3" s="20"/>
      <c r="AA3" s="3"/>
      <c r="AB3" s="3"/>
      <c r="AC3" s="3"/>
      <c r="AD3" s="3"/>
      <c r="AE3" s="21"/>
    </row>
  </sheetData>
  <dataValidations count="5">
    <dataValidation type="list" allowBlank="1" sqref="F2:F1000" xr:uid="{00000000-0002-0000-0800-000000000000}">
      <formula1>enum_package</formula1>
      <formula2>0</formula2>
    </dataValidation>
    <dataValidation type="list" allowBlank="1" sqref="G2:G1000" xr:uid="{00000000-0002-0000-0800-000001000000}">
      <formula1>enum_ind_techno</formula1>
      <formula2>0</formula2>
    </dataValidation>
    <dataValidation type="list" allowBlank="1" sqref="K2:K1000 P2:P1000 U2:U1000 Z2:Z1000" xr:uid="{00000000-0002-0000-0800-000002000000}">
      <formula1>enum_mfn</formula1>
      <formula2>0</formula2>
    </dataValidation>
    <dataValidation type="list" allowBlank="1" sqref="O2:O1000 T2:T1000 Y2:Y1000 AD2:AD1000" xr:uid="{00000000-0002-0000-0800-000003000000}">
      <formula1>enum_status</formula1>
      <formula2>0</formula2>
    </dataValidation>
    <dataValidation type="list" allowBlank="1" sqref="N2:N1000 S2:S1000 X2:X1000 AC2:AC1000" xr:uid="{00000000-0002-0000-0800-000004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45" customWidth="1"/>
    <col min="3" max="3" width="16" customWidth="1"/>
    <col min="4" max="4" width="19" customWidth="1"/>
    <col min="5" max="5" width="20" customWidth="1"/>
    <col min="6" max="7" width="45" customWidth="1"/>
    <col min="8" max="8" width="15.77734375" style="8" customWidth="1"/>
    <col min="9" max="11" width="15.77734375" customWidth="1"/>
    <col min="12" max="12" width="15.77734375" style="9" customWidth="1"/>
    <col min="13" max="17" width="15.77734375" customWidth="1"/>
    <col min="18" max="18" width="15.77734375" style="8" customWidth="1"/>
    <col min="19" max="21" width="15.77734375" customWidth="1"/>
    <col min="22" max="22" width="15.77734375" style="9" customWidth="1"/>
    <col min="23" max="27" width="15.77734375" customWidth="1"/>
    <col min="28" max="28" width="15.77734375" style="10" customWidth="1"/>
  </cols>
  <sheetData>
    <row r="1" spans="1:28" ht="27.75" customHeight="1" x14ac:dyDescent="0.3">
      <c r="A1" s="11" t="s">
        <v>70</v>
      </c>
      <c r="B1" s="11" t="s">
        <v>3</v>
      </c>
      <c r="C1" s="11" t="s">
        <v>72</v>
      </c>
      <c r="D1" s="11" t="s">
        <v>73</v>
      </c>
      <c r="E1" s="11" t="s">
        <v>75</v>
      </c>
      <c r="F1" s="11" t="s">
        <v>76</v>
      </c>
      <c r="G1" s="11" t="s">
        <v>77</v>
      </c>
      <c r="H1" s="13" t="s">
        <v>78</v>
      </c>
      <c r="I1" s="14" t="s">
        <v>79</v>
      </c>
      <c r="J1" s="14" t="s">
        <v>80</v>
      </c>
      <c r="K1" s="14" t="s">
        <v>81</v>
      </c>
      <c r="L1" s="16" t="s">
        <v>82</v>
      </c>
      <c r="M1" s="14" t="s">
        <v>83</v>
      </c>
      <c r="N1" s="14" t="s">
        <v>84</v>
      </c>
      <c r="O1" s="14" t="s">
        <v>85</v>
      </c>
      <c r="P1" s="14" t="s">
        <v>86</v>
      </c>
      <c r="Q1" s="14" t="s">
        <v>87</v>
      </c>
      <c r="R1" s="13" t="s">
        <v>88</v>
      </c>
      <c r="S1" s="14" t="s">
        <v>89</v>
      </c>
      <c r="T1" s="14" t="s">
        <v>90</v>
      </c>
      <c r="U1" s="14" t="s">
        <v>91</v>
      </c>
      <c r="V1" s="16" t="s">
        <v>92</v>
      </c>
      <c r="W1" s="14" t="s">
        <v>93</v>
      </c>
      <c r="X1" s="14" t="s">
        <v>94</v>
      </c>
      <c r="Y1" s="14" t="s">
        <v>95</v>
      </c>
      <c r="Z1" s="14" t="s">
        <v>96</v>
      </c>
      <c r="AA1" s="14" t="s">
        <v>97</v>
      </c>
      <c r="AB1" s="17" t="s">
        <v>98</v>
      </c>
    </row>
    <row r="2" spans="1:28" x14ac:dyDescent="0.3">
      <c r="A2" s="3" t="s">
        <v>505</v>
      </c>
      <c r="B2" s="3" t="s">
        <v>506</v>
      </c>
      <c r="C2" s="3" t="s">
        <v>507</v>
      </c>
      <c r="D2" s="3" t="s">
        <v>508</v>
      </c>
      <c r="E2" s="3" t="s">
        <v>509</v>
      </c>
      <c r="F2" s="3" t="s">
        <v>510</v>
      </c>
      <c r="G2" s="3" t="s">
        <v>511</v>
      </c>
      <c r="H2" s="19" t="s">
        <v>106</v>
      </c>
      <c r="I2" s="3" t="s">
        <v>512</v>
      </c>
      <c r="J2" s="3" t="s">
        <v>513</v>
      </c>
      <c r="L2" s="20" t="s">
        <v>127</v>
      </c>
      <c r="M2" s="3"/>
      <c r="N2" s="3"/>
      <c r="P2" s="3"/>
      <c r="Q2" s="3"/>
      <c r="R2" s="19"/>
      <c r="T2" s="3"/>
      <c r="U2" s="3"/>
      <c r="V2" s="20"/>
      <c r="X2" s="3"/>
      <c r="Y2" s="3"/>
      <c r="Z2" s="3"/>
      <c r="AA2" s="3"/>
      <c r="AB2" s="21"/>
    </row>
  </sheetData>
  <dataValidations count="4">
    <dataValidation type="list" allowBlank="1" sqref="D2:D1000" xr:uid="{00000000-0002-0000-0900-000000000000}">
      <formula1>enum_package</formula1>
      <formula2>0</formula2>
    </dataValidation>
    <dataValidation type="list" allowBlank="1" sqref="H2:H1000 M2:M1000 R2:R1000 W2:W1000" xr:uid="{00000000-0002-0000-0900-000001000000}">
      <formula1>enum_mfn</formula1>
      <formula2>0</formula2>
    </dataValidation>
    <dataValidation type="list" allowBlank="1" sqref="L2:L1000 Q2:Q1000 V2:V1000 AA2:AA1000" xr:uid="{00000000-0002-0000-0900-000002000000}">
      <formula1>enum_status</formula1>
      <formula2>0</formula2>
    </dataValidation>
    <dataValidation type="list" allowBlank="1" sqref="K2:K1000 P2:P1000 U2:U1000 Z2:Z1000" xr:uid="{00000000-0002-0000-0900-000003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22" customWidth="1"/>
    <col min="3" max="3" width="13" customWidth="1"/>
    <col min="4" max="4" width="10" customWidth="1"/>
    <col min="5" max="5" width="19" customWidth="1"/>
    <col min="6" max="7" width="10" customWidth="1"/>
    <col min="8" max="8" width="12" customWidth="1"/>
    <col min="9" max="9" width="11" customWidth="1"/>
    <col min="10" max="10" width="15.77734375" style="8" customWidth="1"/>
    <col min="11" max="13" width="15.77734375" customWidth="1"/>
    <col min="14" max="14" width="15.77734375" style="9" customWidth="1"/>
    <col min="15" max="19" width="15.77734375" customWidth="1"/>
    <col min="20" max="20" width="15.77734375" style="8" customWidth="1"/>
    <col min="21" max="23" width="15.77734375" customWidth="1"/>
    <col min="24" max="24" width="15.77734375" style="9" customWidth="1"/>
    <col min="25" max="29" width="15.77734375" customWidth="1"/>
    <col min="30" max="30" width="15.77734375" style="10" customWidth="1"/>
  </cols>
  <sheetData>
    <row r="1" spans="1:30" ht="27.75" customHeight="1" x14ac:dyDescent="0.3">
      <c r="A1" s="11" t="s">
        <v>70</v>
      </c>
      <c r="B1" s="11" t="s">
        <v>286</v>
      </c>
      <c r="C1" s="11" t="s">
        <v>3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3" t="s">
        <v>78</v>
      </c>
      <c r="K1" s="14" t="s">
        <v>79</v>
      </c>
      <c r="L1" s="14" t="s">
        <v>80</v>
      </c>
      <c r="M1" s="14" t="s">
        <v>81</v>
      </c>
      <c r="N1" s="16" t="s">
        <v>82</v>
      </c>
      <c r="O1" s="14" t="s">
        <v>83</v>
      </c>
      <c r="P1" s="14" t="s">
        <v>84</v>
      </c>
      <c r="Q1" s="14" t="s">
        <v>85</v>
      </c>
      <c r="R1" s="14" t="s">
        <v>86</v>
      </c>
      <c r="S1" s="14" t="s">
        <v>87</v>
      </c>
      <c r="T1" s="13" t="s">
        <v>88</v>
      </c>
      <c r="U1" s="14" t="s">
        <v>89</v>
      </c>
      <c r="V1" s="14" t="s">
        <v>90</v>
      </c>
      <c r="W1" s="14" t="s">
        <v>91</v>
      </c>
      <c r="X1" s="16" t="s">
        <v>92</v>
      </c>
      <c r="Y1" s="14" t="s">
        <v>93</v>
      </c>
      <c r="Z1" s="14" t="s">
        <v>94</v>
      </c>
      <c r="AA1" s="14" t="s">
        <v>95</v>
      </c>
      <c r="AB1" s="14" t="s">
        <v>96</v>
      </c>
      <c r="AC1" s="14" t="s">
        <v>97</v>
      </c>
      <c r="AD1" s="17" t="s">
        <v>98</v>
      </c>
    </row>
  </sheetData>
  <dataValidations count="4">
    <dataValidation type="list" allowBlank="1" sqref="E2:E1000" xr:uid="{00000000-0002-0000-0A00-000000000000}">
      <formula1>enum_package</formula1>
      <formula2>0</formula2>
    </dataValidation>
    <dataValidation type="list" allowBlank="1" sqref="J2:J1000 O2:O1000 T2:T1000 Y2:Y1000" xr:uid="{00000000-0002-0000-0A00-000001000000}">
      <formula1>enum_mfn</formula1>
      <formula2>0</formula2>
    </dataValidation>
    <dataValidation type="list" allowBlank="1" sqref="N2:N1000 S2:S1000 X2:X1000 AC2:AC1000" xr:uid="{00000000-0002-0000-0A00-000002000000}">
      <formula1>enum_status</formula1>
      <formula2>0</formula2>
    </dataValidation>
    <dataValidation type="list" allowBlank="1" sqref="M2:M1000 R2:R1000 W2:W1000 AB2:AB1000" xr:uid="{00000000-0002-0000-0A00-000003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8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22" customWidth="1"/>
    <col min="3" max="3" width="33" customWidth="1"/>
    <col min="4" max="4" width="10" customWidth="1"/>
    <col min="5" max="5" width="19" customWidth="1"/>
    <col min="6" max="6" width="10" customWidth="1"/>
    <col min="7" max="7" width="20" customWidth="1"/>
    <col min="8" max="8" width="21" customWidth="1"/>
    <col min="9" max="9" width="11" customWidth="1"/>
    <col min="10" max="10" width="15.77734375" style="8" customWidth="1"/>
    <col min="11" max="13" width="15.77734375" customWidth="1"/>
    <col min="14" max="14" width="15.77734375" style="9" customWidth="1"/>
    <col min="15" max="19" width="15.77734375" customWidth="1"/>
    <col min="20" max="20" width="15.77734375" style="8" customWidth="1"/>
    <col min="21" max="23" width="15.77734375" customWidth="1"/>
    <col min="24" max="24" width="15.77734375" style="9" customWidth="1"/>
    <col min="25" max="29" width="15.77734375" customWidth="1"/>
    <col min="30" max="30" width="15.77734375" style="10" customWidth="1"/>
  </cols>
  <sheetData>
    <row r="1" spans="1:30" ht="27.75" customHeight="1" x14ac:dyDescent="0.3">
      <c r="A1" s="11" t="s">
        <v>70</v>
      </c>
      <c r="B1" s="11" t="s">
        <v>286</v>
      </c>
      <c r="C1" s="11" t="s">
        <v>3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3" t="s">
        <v>78</v>
      </c>
      <c r="K1" s="14" t="s">
        <v>79</v>
      </c>
      <c r="L1" s="14" t="s">
        <v>80</v>
      </c>
      <c r="M1" s="14" t="s">
        <v>81</v>
      </c>
      <c r="N1" s="16" t="s">
        <v>82</v>
      </c>
      <c r="O1" s="14" t="s">
        <v>83</v>
      </c>
      <c r="P1" s="14" t="s">
        <v>84</v>
      </c>
      <c r="Q1" s="14" t="s">
        <v>85</v>
      </c>
      <c r="R1" s="14" t="s">
        <v>86</v>
      </c>
      <c r="S1" s="14" t="s">
        <v>87</v>
      </c>
      <c r="T1" s="13" t="s">
        <v>88</v>
      </c>
      <c r="U1" s="14" t="s">
        <v>89</v>
      </c>
      <c r="V1" s="14" t="s">
        <v>90</v>
      </c>
      <c r="W1" s="14" t="s">
        <v>91</v>
      </c>
      <c r="X1" s="16" t="s">
        <v>92</v>
      </c>
      <c r="Y1" s="14" t="s">
        <v>93</v>
      </c>
      <c r="Z1" s="14" t="s">
        <v>94</v>
      </c>
      <c r="AA1" s="14" t="s">
        <v>95</v>
      </c>
      <c r="AB1" s="14" t="s">
        <v>96</v>
      </c>
      <c r="AC1" s="14" t="s">
        <v>97</v>
      </c>
      <c r="AD1" s="17" t="s">
        <v>98</v>
      </c>
    </row>
    <row r="2" spans="1:30" x14ac:dyDescent="0.3">
      <c r="A2" s="3" t="s">
        <v>514</v>
      </c>
      <c r="B2" s="3"/>
      <c r="C2" s="3" t="s">
        <v>515</v>
      </c>
      <c r="D2" s="3" t="s">
        <v>123</v>
      </c>
      <c r="E2" s="3" t="s">
        <v>123</v>
      </c>
      <c r="F2" s="3" t="s">
        <v>123</v>
      </c>
      <c r="G2" s="3" t="s">
        <v>516</v>
      </c>
      <c r="H2" s="3" t="s">
        <v>517</v>
      </c>
      <c r="I2" s="3" t="s">
        <v>123</v>
      </c>
      <c r="J2" s="19" t="s">
        <v>123</v>
      </c>
      <c r="K2" s="3" t="s">
        <v>123</v>
      </c>
      <c r="L2" s="3" t="s">
        <v>123</v>
      </c>
      <c r="N2" s="20" t="s">
        <v>127</v>
      </c>
      <c r="O2" s="3"/>
      <c r="P2" s="3"/>
      <c r="R2" s="3"/>
      <c r="S2" s="3"/>
      <c r="T2" s="19"/>
      <c r="V2" s="3"/>
      <c r="W2" s="3"/>
      <c r="X2" s="20"/>
      <c r="Z2" s="3"/>
      <c r="AA2" s="3"/>
      <c r="AB2" s="3"/>
      <c r="AC2" s="3"/>
      <c r="AD2" s="21"/>
    </row>
    <row r="3" spans="1:30" x14ac:dyDescent="0.3">
      <c r="A3" s="3" t="s">
        <v>518</v>
      </c>
      <c r="B3" s="3"/>
      <c r="C3" s="3" t="s">
        <v>519</v>
      </c>
      <c r="D3" s="3" t="s">
        <v>123</v>
      </c>
      <c r="E3" s="3" t="s">
        <v>123</v>
      </c>
      <c r="F3" s="3" t="s">
        <v>123</v>
      </c>
      <c r="G3" s="3" t="s">
        <v>516</v>
      </c>
      <c r="H3" s="3" t="s">
        <v>520</v>
      </c>
      <c r="I3" s="3" t="s">
        <v>123</v>
      </c>
      <c r="J3" s="19" t="s">
        <v>123</v>
      </c>
      <c r="K3" s="3" t="s">
        <v>123</v>
      </c>
      <c r="L3" s="3" t="s">
        <v>123</v>
      </c>
      <c r="N3" s="20" t="s">
        <v>127</v>
      </c>
      <c r="O3" s="3"/>
      <c r="P3" s="3"/>
      <c r="R3" s="3"/>
      <c r="S3" s="3"/>
      <c r="T3" s="19"/>
      <c r="V3" s="3"/>
      <c r="W3" s="3"/>
      <c r="X3" s="20"/>
      <c r="Z3" s="3"/>
      <c r="AA3" s="3"/>
      <c r="AB3" s="3"/>
      <c r="AC3" s="3"/>
      <c r="AD3" s="21"/>
    </row>
    <row r="4" spans="1:30" x14ac:dyDescent="0.3">
      <c r="A4" s="3" t="s">
        <v>521</v>
      </c>
      <c r="B4" s="3"/>
      <c r="C4" s="3" t="s">
        <v>522</v>
      </c>
      <c r="D4" s="3" t="s">
        <v>123</v>
      </c>
      <c r="E4" s="3" t="s">
        <v>123</v>
      </c>
      <c r="F4" s="3" t="s">
        <v>123</v>
      </c>
      <c r="G4" s="3" t="s">
        <v>523</v>
      </c>
      <c r="H4" s="3" t="s">
        <v>524</v>
      </c>
      <c r="I4" s="3" t="s">
        <v>123</v>
      </c>
      <c r="J4" s="19" t="s">
        <v>123</v>
      </c>
      <c r="K4" s="3" t="s">
        <v>123</v>
      </c>
      <c r="L4" s="3" t="s">
        <v>123</v>
      </c>
      <c r="N4" s="20" t="s">
        <v>127</v>
      </c>
      <c r="O4" s="3"/>
      <c r="P4" s="3"/>
      <c r="R4" s="3"/>
      <c r="S4" s="3"/>
      <c r="T4" s="19"/>
      <c r="V4" s="3"/>
      <c r="W4" s="3"/>
      <c r="X4" s="20"/>
      <c r="Z4" s="3"/>
      <c r="AA4" s="3"/>
      <c r="AB4" s="3"/>
      <c r="AC4" s="3"/>
      <c r="AD4" s="21"/>
    </row>
    <row r="5" spans="1:30" x14ac:dyDescent="0.3">
      <c r="A5" s="3" t="s">
        <v>525</v>
      </c>
      <c r="B5" s="3"/>
      <c r="C5" s="3" t="s">
        <v>526</v>
      </c>
      <c r="D5" s="3" t="s">
        <v>123</v>
      </c>
      <c r="E5" s="3" t="s">
        <v>123</v>
      </c>
      <c r="F5" s="3" t="s">
        <v>123</v>
      </c>
      <c r="G5" s="3" t="s">
        <v>527</v>
      </c>
      <c r="H5" s="3" t="s">
        <v>528</v>
      </c>
      <c r="I5" s="3" t="s">
        <v>123</v>
      </c>
      <c r="J5" s="19" t="s">
        <v>123</v>
      </c>
      <c r="K5" s="3" t="s">
        <v>123</v>
      </c>
      <c r="L5" s="3" t="s">
        <v>123</v>
      </c>
      <c r="N5" s="20" t="s">
        <v>127</v>
      </c>
      <c r="O5" s="3"/>
      <c r="P5" s="3"/>
      <c r="R5" s="3"/>
      <c r="S5" s="3"/>
      <c r="T5" s="19"/>
      <c r="V5" s="3"/>
      <c r="W5" s="3"/>
      <c r="X5" s="20"/>
      <c r="Z5" s="3"/>
      <c r="AA5" s="3"/>
      <c r="AB5" s="3"/>
      <c r="AC5" s="3"/>
      <c r="AD5" s="21"/>
    </row>
    <row r="6" spans="1:30" x14ac:dyDescent="0.3">
      <c r="A6" s="3" t="s">
        <v>529</v>
      </c>
      <c r="B6" s="3"/>
      <c r="C6" s="3" t="s">
        <v>530</v>
      </c>
      <c r="D6" s="3" t="s">
        <v>123</v>
      </c>
      <c r="E6" s="3" t="s">
        <v>123</v>
      </c>
      <c r="F6" s="3" t="s">
        <v>123</v>
      </c>
      <c r="G6" s="3" t="s">
        <v>527</v>
      </c>
      <c r="H6" s="3" t="s">
        <v>531</v>
      </c>
      <c r="I6" s="3" t="s">
        <v>123</v>
      </c>
      <c r="J6" s="19" t="s">
        <v>123</v>
      </c>
      <c r="K6" s="3" t="s">
        <v>123</v>
      </c>
      <c r="L6" s="3" t="s">
        <v>123</v>
      </c>
      <c r="N6" s="20" t="s">
        <v>127</v>
      </c>
      <c r="O6" s="3"/>
      <c r="P6" s="3"/>
      <c r="R6" s="3"/>
      <c r="S6" s="3"/>
      <c r="T6" s="19"/>
      <c r="V6" s="3"/>
      <c r="W6" s="3"/>
      <c r="X6" s="20"/>
      <c r="Z6" s="3"/>
      <c r="AA6" s="3"/>
      <c r="AB6" s="3"/>
      <c r="AC6" s="3"/>
      <c r="AD6" s="21"/>
    </row>
    <row r="7" spans="1:30" x14ac:dyDescent="0.3">
      <c r="A7" s="3" t="s">
        <v>532</v>
      </c>
      <c r="B7" s="3"/>
      <c r="C7" s="3" t="s">
        <v>533</v>
      </c>
      <c r="D7" s="3" t="s">
        <v>123</v>
      </c>
      <c r="E7" s="3" t="s">
        <v>123</v>
      </c>
      <c r="F7" s="3" t="s">
        <v>123</v>
      </c>
      <c r="G7" s="3" t="s">
        <v>534</v>
      </c>
      <c r="H7" s="3" t="s">
        <v>535</v>
      </c>
      <c r="I7" s="3" t="s">
        <v>123</v>
      </c>
      <c r="J7" s="19" t="s">
        <v>123</v>
      </c>
      <c r="K7" s="3" t="s">
        <v>123</v>
      </c>
      <c r="L7" s="3" t="s">
        <v>123</v>
      </c>
      <c r="N7" s="20" t="s">
        <v>127</v>
      </c>
      <c r="O7" s="3"/>
      <c r="P7" s="3"/>
      <c r="R7" s="3"/>
      <c r="S7" s="3"/>
      <c r="T7" s="19"/>
      <c r="V7" s="3"/>
      <c r="W7" s="3"/>
      <c r="X7" s="20"/>
      <c r="Z7" s="3"/>
      <c r="AA7" s="3"/>
      <c r="AB7" s="3"/>
      <c r="AC7" s="3"/>
      <c r="AD7" s="21"/>
    </row>
    <row r="8" spans="1:30" x14ac:dyDescent="0.3">
      <c r="A8" s="3" t="s">
        <v>536</v>
      </c>
      <c r="B8" s="3"/>
      <c r="C8" s="3" t="s">
        <v>537</v>
      </c>
      <c r="D8" s="3" t="s">
        <v>123</v>
      </c>
      <c r="E8" s="3" t="s">
        <v>123</v>
      </c>
      <c r="F8" s="3" t="s">
        <v>123</v>
      </c>
      <c r="G8" s="3" t="s">
        <v>534</v>
      </c>
      <c r="H8" s="3" t="s">
        <v>538</v>
      </c>
      <c r="I8" s="3" t="s">
        <v>123</v>
      </c>
      <c r="J8" s="19" t="s">
        <v>123</v>
      </c>
      <c r="K8" s="3" t="s">
        <v>123</v>
      </c>
      <c r="L8" s="3" t="s">
        <v>123</v>
      </c>
      <c r="N8" s="20" t="s">
        <v>127</v>
      </c>
      <c r="O8" s="3"/>
      <c r="P8" s="3"/>
      <c r="R8" s="3"/>
      <c r="S8" s="3"/>
      <c r="T8" s="19"/>
      <c r="V8" s="3"/>
      <c r="W8" s="3"/>
      <c r="X8" s="20"/>
      <c r="Z8" s="3"/>
      <c r="AA8" s="3"/>
      <c r="AB8" s="3"/>
      <c r="AC8" s="3"/>
      <c r="AD8" s="21"/>
    </row>
  </sheetData>
  <dataValidations count="4">
    <dataValidation type="list" allowBlank="1" sqref="E2:E1000" xr:uid="{00000000-0002-0000-0B00-000000000000}">
      <formula1>enum_package</formula1>
      <formula2>0</formula2>
    </dataValidation>
    <dataValidation type="list" allowBlank="1" sqref="J2:J1000 O2:O1000 T2:T1000 Y2:Y1000" xr:uid="{00000000-0002-0000-0B00-000001000000}">
      <formula1>enum_mfn</formula1>
      <formula2>0</formula2>
    </dataValidation>
    <dataValidation type="list" allowBlank="1" sqref="N2:N1000 S2:S1000 X2:X1000 AC2:AC1000" xr:uid="{00000000-0002-0000-0B00-000002000000}">
      <formula1>enum_status</formula1>
      <formula2>0</formula2>
    </dataValidation>
    <dataValidation type="list" allowBlank="1" sqref="M2:M1000 R2:R1000 W2:W1000 AB2:AB1000" xr:uid="{00000000-0002-0000-0B00-000003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22" customWidth="1"/>
    <col min="3" max="3" width="13" customWidth="1"/>
    <col min="4" max="4" width="10" customWidth="1"/>
    <col min="5" max="5" width="19" customWidth="1"/>
    <col min="6" max="7" width="10" customWidth="1"/>
    <col min="8" max="8" width="12" customWidth="1"/>
    <col min="9" max="9" width="11" customWidth="1"/>
    <col min="10" max="10" width="15.77734375" style="8" customWidth="1"/>
    <col min="11" max="13" width="15.77734375" customWidth="1"/>
    <col min="14" max="14" width="15.77734375" style="9" customWidth="1"/>
    <col min="15" max="19" width="15.77734375" customWidth="1"/>
    <col min="20" max="20" width="15.77734375" style="8" customWidth="1"/>
    <col min="21" max="23" width="15.77734375" customWidth="1"/>
    <col min="24" max="24" width="15.77734375" style="9" customWidth="1"/>
    <col min="25" max="29" width="15.77734375" customWidth="1"/>
    <col min="30" max="30" width="15.77734375" style="10" customWidth="1"/>
  </cols>
  <sheetData>
    <row r="1" spans="1:30" ht="27.75" customHeight="1" x14ac:dyDescent="0.3">
      <c r="A1" s="11" t="s">
        <v>70</v>
      </c>
      <c r="B1" s="11" t="s">
        <v>286</v>
      </c>
      <c r="C1" s="11" t="s">
        <v>3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3" t="s">
        <v>78</v>
      </c>
      <c r="K1" s="14" t="s">
        <v>79</v>
      </c>
      <c r="L1" s="14" t="s">
        <v>80</v>
      </c>
      <c r="M1" s="14" t="s">
        <v>81</v>
      </c>
      <c r="N1" s="16" t="s">
        <v>82</v>
      </c>
      <c r="O1" s="14" t="s">
        <v>83</v>
      </c>
      <c r="P1" s="14" t="s">
        <v>84</v>
      </c>
      <c r="Q1" s="14" t="s">
        <v>85</v>
      </c>
      <c r="R1" s="14" t="s">
        <v>86</v>
      </c>
      <c r="S1" s="14" t="s">
        <v>87</v>
      </c>
      <c r="T1" s="13" t="s">
        <v>88</v>
      </c>
      <c r="U1" s="14" t="s">
        <v>89</v>
      </c>
      <c r="V1" s="14" t="s">
        <v>90</v>
      </c>
      <c r="W1" s="14" t="s">
        <v>91</v>
      </c>
      <c r="X1" s="16" t="s">
        <v>92</v>
      </c>
      <c r="Y1" s="14" t="s">
        <v>93</v>
      </c>
      <c r="Z1" s="14" t="s">
        <v>94</v>
      </c>
      <c r="AA1" s="14" t="s">
        <v>95</v>
      </c>
      <c r="AB1" s="14" t="s">
        <v>96</v>
      </c>
      <c r="AC1" s="14" t="s">
        <v>97</v>
      </c>
      <c r="AD1" s="17" t="s">
        <v>98</v>
      </c>
    </row>
  </sheetData>
  <dataValidations count="4">
    <dataValidation type="list" allowBlank="1" sqref="E2:E1000" xr:uid="{00000000-0002-0000-0C00-000000000000}">
      <formula1>enum_package</formula1>
      <formula2>0</formula2>
    </dataValidation>
    <dataValidation type="list" allowBlank="1" sqref="J2:J1000 O2:O1000 T2:T1000 Y2:Y1000" xr:uid="{00000000-0002-0000-0C00-000001000000}">
      <formula1>enum_mfn</formula1>
      <formula2>0</formula2>
    </dataValidation>
    <dataValidation type="list" allowBlank="1" sqref="N2:N1000 S2:S1000 X2:X1000 AC2:AC1000" xr:uid="{00000000-0002-0000-0C00-000002000000}">
      <formula1>enum_status</formula1>
      <formula2>0</formula2>
    </dataValidation>
    <dataValidation type="list" allowBlank="1" sqref="M2:M1000 R2:R1000 W2:W1000 AB2:AB1000" xr:uid="{00000000-0002-0000-0C00-000003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22" customWidth="1"/>
    <col min="3" max="3" width="13" customWidth="1"/>
    <col min="4" max="4" width="10" customWidth="1"/>
    <col min="5" max="5" width="19" customWidth="1"/>
    <col min="6" max="7" width="10" customWidth="1"/>
    <col min="8" max="8" width="12" customWidth="1"/>
    <col min="9" max="9" width="11" customWidth="1"/>
    <col min="10" max="10" width="15.77734375" style="8" customWidth="1"/>
    <col min="11" max="13" width="15.77734375" customWidth="1"/>
    <col min="14" max="14" width="15.77734375" style="9" customWidth="1"/>
    <col min="15" max="19" width="15.77734375" customWidth="1"/>
    <col min="20" max="20" width="15.77734375" style="8" customWidth="1"/>
    <col min="21" max="23" width="15.77734375" customWidth="1"/>
    <col min="24" max="24" width="15.77734375" style="9" customWidth="1"/>
    <col min="25" max="29" width="15.77734375" customWidth="1"/>
    <col min="30" max="30" width="15.77734375" style="10" customWidth="1"/>
  </cols>
  <sheetData>
    <row r="1" spans="1:30" ht="27.75" customHeight="1" x14ac:dyDescent="0.3">
      <c r="A1" s="11" t="s">
        <v>70</v>
      </c>
      <c r="B1" s="11" t="s">
        <v>286</v>
      </c>
      <c r="C1" s="11" t="s">
        <v>3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3" t="s">
        <v>78</v>
      </c>
      <c r="K1" s="14" t="s">
        <v>79</v>
      </c>
      <c r="L1" s="14" t="s">
        <v>80</v>
      </c>
      <c r="M1" s="14" t="s">
        <v>81</v>
      </c>
      <c r="N1" s="16" t="s">
        <v>82</v>
      </c>
      <c r="O1" s="14" t="s">
        <v>83</v>
      </c>
      <c r="P1" s="14" t="s">
        <v>84</v>
      </c>
      <c r="Q1" s="14" t="s">
        <v>85</v>
      </c>
      <c r="R1" s="14" t="s">
        <v>86</v>
      </c>
      <c r="S1" s="14" t="s">
        <v>87</v>
      </c>
      <c r="T1" s="13" t="s">
        <v>88</v>
      </c>
      <c r="U1" s="14" t="s">
        <v>89</v>
      </c>
      <c r="V1" s="14" t="s">
        <v>90</v>
      </c>
      <c r="W1" s="14" t="s">
        <v>91</v>
      </c>
      <c r="X1" s="16" t="s">
        <v>92</v>
      </c>
      <c r="Y1" s="14" t="s">
        <v>93</v>
      </c>
      <c r="Z1" s="14" t="s">
        <v>94</v>
      </c>
      <c r="AA1" s="14" t="s">
        <v>95</v>
      </c>
      <c r="AB1" s="14" t="s">
        <v>96</v>
      </c>
      <c r="AC1" s="14" t="s">
        <v>97</v>
      </c>
      <c r="AD1" s="17" t="s">
        <v>98</v>
      </c>
    </row>
  </sheetData>
  <dataValidations count="4">
    <dataValidation type="list" allowBlank="1" sqref="E2:E1000" xr:uid="{00000000-0002-0000-0D00-000000000000}">
      <formula1>enum_package</formula1>
      <formula2>0</formula2>
    </dataValidation>
    <dataValidation type="list" allowBlank="1" sqref="J2:J1000 O2:O1000 T2:T1000 Y2:Y1000" xr:uid="{00000000-0002-0000-0D00-000001000000}">
      <formula1>enum_mfn</formula1>
      <formula2>0</formula2>
    </dataValidation>
    <dataValidation type="list" allowBlank="1" sqref="N2:N1000 S2:S1000 X2:X1000 AC2:AC1000" xr:uid="{00000000-0002-0000-0D00-000002000000}">
      <formula1>enum_status</formula1>
      <formula2>0</formula2>
    </dataValidation>
    <dataValidation type="list" allowBlank="1" sqref="M2:M1000 R2:R1000 W2:W1000 AB2:AB1000" xr:uid="{00000000-0002-0000-0D00-000003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3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22" customWidth="1"/>
    <col min="3" max="3" width="45" customWidth="1"/>
    <col min="4" max="4" width="12" customWidth="1"/>
    <col min="5" max="5" width="16" customWidth="1"/>
    <col min="6" max="6" width="19" customWidth="1"/>
    <col min="7" max="7" width="45" customWidth="1"/>
    <col min="8" max="8" width="20" customWidth="1"/>
    <col min="9" max="10" width="45" customWidth="1"/>
    <col min="11" max="11" width="15.77734375" style="8" customWidth="1"/>
    <col min="12" max="14" width="15.77734375" customWidth="1"/>
    <col min="15" max="15" width="15.77734375" style="9" customWidth="1"/>
    <col min="16" max="20" width="15.77734375" customWidth="1"/>
    <col min="21" max="21" width="15.77734375" style="8" customWidth="1"/>
    <col min="22" max="24" width="15.77734375" customWidth="1"/>
    <col min="25" max="25" width="15.77734375" style="9" customWidth="1"/>
    <col min="26" max="30" width="15.77734375" customWidth="1"/>
    <col min="31" max="31" width="15.77734375" style="10" customWidth="1"/>
  </cols>
  <sheetData>
    <row r="1" spans="1:31" ht="27.75" customHeight="1" x14ac:dyDescent="0.3">
      <c r="A1" s="11" t="s">
        <v>70</v>
      </c>
      <c r="B1" s="11" t="s">
        <v>286</v>
      </c>
      <c r="C1" s="11" t="s">
        <v>3</v>
      </c>
      <c r="D1" s="11" t="s">
        <v>72</v>
      </c>
      <c r="E1" s="11" t="s">
        <v>74</v>
      </c>
      <c r="F1" s="11" t="s">
        <v>73</v>
      </c>
      <c r="G1" s="11" t="s">
        <v>291</v>
      </c>
      <c r="H1" s="11" t="s">
        <v>75</v>
      </c>
      <c r="I1" s="11" t="s">
        <v>76</v>
      </c>
      <c r="J1" s="11" t="s">
        <v>77</v>
      </c>
      <c r="K1" s="13" t="s">
        <v>78</v>
      </c>
      <c r="L1" s="14" t="s">
        <v>79</v>
      </c>
      <c r="M1" s="14" t="s">
        <v>80</v>
      </c>
      <c r="N1" s="14" t="s">
        <v>81</v>
      </c>
      <c r="O1" s="16" t="s">
        <v>82</v>
      </c>
      <c r="P1" s="14" t="s">
        <v>83</v>
      </c>
      <c r="Q1" s="14" t="s">
        <v>84</v>
      </c>
      <c r="R1" s="14" t="s">
        <v>85</v>
      </c>
      <c r="S1" s="14" t="s">
        <v>86</v>
      </c>
      <c r="T1" s="14" t="s">
        <v>87</v>
      </c>
      <c r="U1" s="13" t="s">
        <v>88</v>
      </c>
      <c r="V1" s="14" t="s">
        <v>89</v>
      </c>
      <c r="W1" s="14" t="s">
        <v>90</v>
      </c>
      <c r="X1" s="14" t="s">
        <v>91</v>
      </c>
      <c r="Y1" s="16" t="s">
        <v>92</v>
      </c>
      <c r="Z1" s="14" t="s">
        <v>93</v>
      </c>
      <c r="AA1" s="14" t="s">
        <v>94</v>
      </c>
      <c r="AB1" s="14" t="s">
        <v>95</v>
      </c>
      <c r="AC1" s="14" t="s">
        <v>96</v>
      </c>
      <c r="AD1" s="14" t="s">
        <v>97</v>
      </c>
      <c r="AE1" s="17" t="s">
        <v>98</v>
      </c>
    </row>
    <row r="2" spans="1:31" x14ac:dyDescent="0.3">
      <c r="A2" s="3" t="s">
        <v>539</v>
      </c>
      <c r="B2" s="3"/>
      <c r="C2" s="3" t="s">
        <v>540</v>
      </c>
      <c r="D2" s="3" t="s">
        <v>541</v>
      </c>
      <c r="E2" s="3" t="s">
        <v>542</v>
      </c>
      <c r="F2" s="3" t="s">
        <v>543</v>
      </c>
      <c r="G2" s="3"/>
      <c r="H2" s="3" t="s">
        <v>544</v>
      </c>
      <c r="I2" s="3" t="s">
        <v>545</v>
      </c>
      <c r="J2" s="3" t="s">
        <v>546</v>
      </c>
      <c r="K2" s="19" t="s">
        <v>547</v>
      </c>
      <c r="L2" s="3" t="s">
        <v>548</v>
      </c>
      <c r="M2" s="3" t="s">
        <v>549</v>
      </c>
      <c r="O2" s="20" t="s">
        <v>127</v>
      </c>
      <c r="P2" s="3" t="s">
        <v>550</v>
      </c>
      <c r="Q2" s="3" t="s">
        <v>551</v>
      </c>
      <c r="S2" s="3" t="s">
        <v>552</v>
      </c>
      <c r="T2" s="3" t="s">
        <v>110</v>
      </c>
      <c r="U2" s="19" t="s">
        <v>550</v>
      </c>
      <c r="W2" s="3" t="s">
        <v>553</v>
      </c>
      <c r="X2" s="3" t="s">
        <v>552</v>
      </c>
      <c r="Y2" s="20" t="s">
        <v>110</v>
      </c>
      <c r="AA2" s="3"/>
      <c r="AB2" s="3"/>
      <c r="AC2" s="3"/>
      <c r="AD2" s="3"/>
      <c r="AE2" s="21"/>
    </row>
    <row r="3" spans="1:31" x14ac:dyDescent="0.3">
      <c r="A3" s="3" t="s">
        <v>554</v>
      </c>
      <c r="B3" s="3"/>
      <c r="C3" s="3" t="s">
        <v>555</v>
      </c>
      <c r="D3" s="3" t="s">
        <v>556</v>
      </c>
      <c r="E3" s="3" t="s">
        <v>557</v>
      </c>
      <c r="F3" s="3" t="s">
        <v>558</v>
      </c>
      <c r="G3" s="3" t="s">
        <v>559</v>
      </c>
      <c r="H3" s="3" t="s">
        <v>560</v>
      </c>
      <c r="I3" s="3" t="s">
        <v>561</v>
      </c>
      <c r="J3" s="3" t="s">
        <v>562</v>
      </c>
      <c r="K3" s="19" t="s">
        <v>547</v>
      </c>
      <c r="L3" s="3" t="s">
        <v>563</v>
      </c>
      <c r="M3" s="3" t="s">
        <v>564</v>
      </c>
      <c r="O3" s="20" t="s">
        <v>127</v>
      </c>
      <c r="P3" s="3"/>
      <c r="Q3" s="3"/>
      <c r="S3" s="3"/>
      <c r="T3" s="3"/>
      <c r="U3" s="19"/>
      <c r="W3" s="3"/>
      <c r="X3" s="3"/>
      <c r="Y3" s="20"/>
      <c r="AA3" s="3"/>
      <c r="AB3" s="3"/>
      <c r="AC3" s="3"/>
      <c r="AD3" s="3"/>
      <c r="AE3" s="21"/>
    </row>
  </sheetData>
  <dataValidations count="5">
    <dataValidation type="list" allowBlank="1" sqref="F2:F1000" xr:uid="{00000000-0002-0000-0E00-000000000000}">
      <formula1>enum_package</formula1>
      <formula2>0</formula2>
    </dataValidation>
    <dataValidation type="list" allowBlank="1" sqref="E2:E1000" xr:uid="{00000000-0002-0000-0E00-000001000000}">
      <formula1>enum_reg_techno</formula1>
      <formula2>0</formula2>
    </dataValidation>
    <dataValidation type="list" allowBlank="1" sqref="K2:K1000 P2:P1000 U2:U1000 Z2:Z1000" xr:uid="{00000000-0002-0000-0E00-000002000000}">
      <formula1>enum_mfn</formula1>
      <formula2>0</formula2>
    </dataValidation>
    <dataValidation type="list" allowBlank="1" sqref="O2:O1000 T2:T1000 Y2:Y1000 AD2:AD1000" xr:uid="{00000000-0002-0000-0E00-000003000000}">
      <formula1>enum_status</formula1>
      <formula2>0</formula2>
    </dataValidation>
    <dataValidation type="list" allowBlank="1" sqref="N2:N1000 S2:S1000 X2:X1000 AC2:AC1000" xr:uid="{00000000-0002-0000-0E00-000004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84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43" customWidth="1"/>
    <col min="3" max="3" width="10" customWidth="1"/>
    <col min="4" max="4" width="18" customWidth="1"/>
    <col min="5" max="5" width="10" customWidth="1"/>
    <col min="6" max="6" width="13" customWidth="1"/>
    <col min="7" max="7" width="15" customWidth="1"/>
    <col min="8" max="8" width="19" customWidth="1"/>
    <col min="9" max="10" width="20" customWidth="1"/>
    <col min="11" max="11" width="11" customWidth="1"/>
    <col min="12" max="12" width="15.77734375" style="8" customWidth="1"/>
    <col min="13" max="15" width="15.77734375" customWidth="1"/>
    <col min="16" max="16" width="15.77734375" style="9" customWidth="1"/>
    <col min="17" max="21" width="15.77734375" customWidth="1"/>
    <col min="22" max="22" width="15.77734375" style="8" customWidth="1"/>
    <col min="23" max="25" width="15.77734375" customWidth="1"/>
    <col min="26" max="26" width="15.77734375" style="9" customWidth="1"/>
    <col min="27" max="31" width="15.77734375" customWidth="1"/>
    <col min="32" max="32" width="67.109375" style="10" customWidth="1"/>
  </cols>
  <sheetData>
    <row r="1" spans="1:32" ht="27.75" customHeight="1" x14ac:dyDescent="0.3">
      <c r="A1" s="11" t="s">
        <v>70</v>
      </c>
      <c r="B1" s="11" t="s">
        <v>3</v>
      </c>
      <c r="C1" s="11" t="s">
        <v>72</v>
      </c>
      <c r="D1" s="11" t="s">
        <v>565</v>
      </c>
      <c r="E1" s="11" t="s">
        <v>74</v>
      </c>
      <c r="F1" s="11" t="s">
        <v>566</v>
      </c>
      <c r="G1" s="11" t="s">
        <v>114</v>
      </c>
      <c r="H1" s="11" t="s">
        <v>73</v>
      </c>
      <c r="I1" s="11" t="s">
        <v>75</v>
      </c>
      <c r="J1" s="11" t="s">
        <v>76</v>
      </c>
      <c r="K1" s="11" t="s">
        <v>77</v>
      </c>
      <c r="L1" s="13" t="s">
        <v>78</v>
      </c>
      <c r="M1" s="14" t="s">
        <v>79</v>
      </c>
      <c r="N1" s="14" t="s">
        <v>80</v>
      </c>
      <c r="O1" s="14" t="s">
        <v>81</v>
      </c>
      <c r="P1" s="16" t="s">
        <v>82</v>
      </c>
      <c r="Q1" s="14" t="s">
        <v>83</v>
      </c>
      <c r="R1" s="14" t="s">
        <v>84</v>
      </c>
      <c r="S1" s="14" t="s">
        <v>85</v>
      </c>
      <c r="T1" s="14" t="s">
        <v>86</v>
      </c>
      <c r="U1" s="14" t="s">
        <v>87</v>
      </c>
      <c r="V1" s="13" t="s">
        <v>88</v>
      </c>
      <c r="W1" s="14" t="s">
        <v>89</v>
      </c>
      <c r="X1" s="14" t="s">
        <v>90</v>
      </c>
      <c r="Y1" s="14" t="s">
        <v>91</v>
      </c>
      <c r="Z1" s="16" t="s">
        <v>92</v>
      </c>
      <c r="AA1" s="14" t="s">
        <v>93</v>
      </c>
      <c r="AB1" s="14" t="s">
        <v>94</v>
      </c>
      <c r="AC1" s="14" t="s">
        <v>95</v>
      </c>
      <c r="AD1" s="14" t="s">
        <v>96</v>
      </c>
      <c r="AE1" s="14" t="s">
        <v>97</v>
      </c>
      <c r="AF1" s="17" t="s">
        <v>98</v>
      </c>
    </row>
    <row r="2" spans="1:32" x14ac:dyDescent="0.3">
      <c r="A2" s="3" t="s">
        <v>567</v>
      </c>
      <c r="B2" s="3" t="s">
        <v>568</v>
      </c>
      <c r="C2" s="3" t="s">
        <v>569</v>
      </c>
      <c r="D2" s="3">
        <v>0.1</v>
      </c>
      <c r="E2" s="3" t="s">
        <v>570</v>
      </c>
      <c r="F2" s="3">
        <v>200</v>
      </c>
      <c r="G2" s="3">
        <v>1</v>
      </c>
      <c r="H2" s="3" t="s">
        <v>120</v>
      </c>
      <c r="I2" s="3" t="s">
        <v>571</v>
      </c>
      <c r="J2" s="3" t="s">
        <v>572</v>
      </c>
      <c r="K2" s="3" t="s">
        <v>123</v>
      </c>
      <c r="L2" s="19" t="s">
        <v>573</v>
      </c>
      <c r="M2" s="3" t="s">
        <v>574</v>
      </c>
      <c r="N2" s="3" t="s">
        <v>575</v>
      </c>
      <c r="P2" s="20" t="s">
        <v>127</v>
      </c>
      <c r="Q2" s="3"/>
      <c r="R2" s="3"/>
      <c r="T2" s="3"/>
      <c r="U2" s="3"/>
      <c r="V2" s="19"/>
      <c r="X2" s="3"/>
      <c r="Y2" s="3"/>
      <c r="Z2" s="20"/>
      <c r="AB2" s="3"/>
      <c r="AC2" s="3"/>
      <c r="AD2" s="3"/>
      <c r="AE2" s="3"/>
      <c r="AF2" s="21" t="s">
        <v>576</v>
      </c>
    </row>
    <row r="3" spans="1:32" x14ac:dyDescent="0.3">
      <c r="A3" s="3" t="s">
        <v>577</v>
      </c>
      <c r="B3" s="3" t="s">
        <v>578</v>
      </c>
      <c r="C3" s="3" t="s">
        <v>579</v>
      </c>
      <c r="D3" s="3">
        <v>0.1</v>
      </c>
      <c r="E3" s="3" t="s">
        <v>570</v>
      </c>
      <c r="F3" s="3">
        <v>200</v>
      </c>
      <c r="G3" s="3">
        <v>1</v>
      </c>
      <c r="H3" s="3" t="s">
        <v>120</v>
      </c>
      <c r="I3" s="3" t="s">
        <v>571</v>
      </c>
      <c r="J3" s="3" t="s">
        <v>572</v>
      </c>
      <c r="K3" s="3" t="s">
        <v>123</v>
      </c>
      <c r="L3" s="19" t="s">
        <v>573</v>
      </c>
      <c r="M3" s="3" t="s">
        <v>580</v>
      </c>
      <c r="N3" s="3" t="s">
        <v>581</v>
      </c>
      <c r="P3" s="20" t="s">
        <v>127</v>
      </c>
      <c r="Q3" s="3"/>
      <c r="R3" s="3"/>
      <c r="T3" s="3"/>
      <c r="U3" s="3"/>
      <c r="V3" s="19"/>
      <c r="X3" s="3"/>
      <c r="Y3" s="3"/>
      <c r="Z3" s="20"/>
      <c r="AB3" s="3"/>
      <c r="AC3" s="3"/>
      <c r="AD3" s="3"/>
      <c r="AE3" s="3"/>
      <c r="AF3" s="21"/>
    </row>
    <row r="4" spans="1:32" x14ac:dyDescent="0.3">
      <c r="A4" s="3" t="s">
        <v>582</v>
      </c>
      <c r="B4" s="3" t="s">
        <v>583</v>
      </c>
      <c r="C4" s="3" t="s">
        <v>584</v>
      </c>
      <c r="D4" s="3">
        <v>0.1</v>
      </c>
      <c r="E4" s="3" t="s">
        <v>570</v>
      </c>
      <c r="F4" s="3">
        <v>200</v>
      </c>
      <c r="G4" s="3">
        <v>1</v>
      </c>
      <c r="H4" s="3" t="s">
        <v>120</v>
      </c>
      <c r="I4" s="3" t="s">
        <v>571</v>
      </c>
      <c r="J4" s="3" t="s">
        <v>572</v>
      </c>
      <c r="K4" s="3" t="s">
        <v>123</v>
      </c>
      <c r="L4" s="19" t="s">
        <v>573</v>
      </c>
      <c r="M4" s="3" t="s">
        <v>585</v>
      </c>
      <c r="N4" s="3" t="s">
        <v>586</v>
      </c>
      <c r="P4" s="20" t="s">
        <v>127</v>
      </c>
      <c r="Q4" s="3"/>
      <c r="R4" s="3"/>
      <c r="T4" s="3"/>
      <c r="U4" s="3"/>
      <c r="V4" s="19"/>
      <c r="X4" s="3"/>
      <c r="Y4" s="3"/>
      <c r="Z4" s="20"/>
      <c r="AB4" s="3"/>
      <c r="AC4" s="3"/>
      <c r="AD4" s="3"/>
      <c r="AE4" s="3"/>
      <c r="AF4" s="21"/>
    </row>
    <row r="5" spans="1:32" x14ac:dyDescent="0.3">
      <c r="A5" s="3" t="s">
        <v>587</v>
      </c>
      <c r="B5" s="3" t="s">
        <v>588</v>
      </c>
      <c r="C5" s="3" t="s">
        <v>589</v>
      </c>
      <c r="D5" s="3">
        <v>0.1</v>
      </c>
      <c r="E5" s="3" t="s">
        <v>570</v>
      </c>
      <c r="F5" s="3">
        <v>200</v>
      </c>
      <c r="G5" s="3">
        <v>1</v>
      </c>
      <c r="H5" s="3" t="s">
        <v>120</v>
      </c>
      <c r="I5" s="3" t="s">
        <v>571</v>
      </c>
      <c r="J5" s="3" t="s">
        <v>572</v>
      </c>
      <c r="K5" s="3" t="s">
        <v>123</v>
      </c>
      <c r="L5" s="19" t="s">
        <v>573</v>
      </c>
      <c r="M5" s="3" t="s">
        <v>590</v>
      </c>
      <c r="N5" s="3" t="s">
        <v>591</v>
      </c>
      <c r="P5" s="20" t="s">
        <v>127</v>
      </c>
      <c r="Q5" s="3"/>
      <c r="R5" s="3"/>
      <c r="T5" s="3"/>
      <c r="U5" s="3"/>
      <c r="V5" s="19"/>
      <c r="X5" s="3"/>
      <c r="Y5" s="3"/>
      <c r="Z5" s="20"/>
      <c r="AB5" s="3"/>
      <c r="AC5" s="3"/>
      <c r="AD5" s="3"/>
      <c r="AE5" s="3"/>
      <c r="AF5" s="21"/>
    </row>
    <row r="6" spans="1:32" x14ac:dyDescent="0.3">
      <c r="A6" s="3" t="s">
        <v>592</v>
      </c>
      <c r="B6" s="3" t="s">
        <v>593</v>
      </c>
      <c r="C6" s="3" t="s">
        <v>594</v>
      </c>
      <c r="D6" s="3">
        <v>0.1</v>
      </c>
      <c r="E6" s="3" t="s">
        <v>570</v>
      </c>
      <c r="F6" s="3">
        <v>200</v>
      </c>
      <c r="G6" s="3">
        <v>1</v>
      </c>
      <c r="H6" s="3" t="s">
        <v>120</v>
      </c>
      <c r="I6" s="3" t="s">
        <v>571</v>
      </c>
      <c r="J6" s="3" t="s">
        <v>572</v>
      </c>
      <c r="K6" s="3" t="s">
        <v>123</v>
      </c>
      <c r="L6" s="19" t="s">
        <v>573</v>
      </c>
      <c r="M6" s="3" t="s">
        <v>595</v>
      </c>
      <c r="N6" s="3" t="s">
        <v>596</v>
      </c>
      <c r="P6" s="20" t="s">
        <v>127</v>
      </c>
      <c r="Q6" s="3"/>
      <c r="R6" s="3"/>
      <c r="T6" s="3"/>
      <c r="U6" s="3"/>
      <c r="V6" s="19"/>
      <c r="X6" s="3"/>
      <c r="Y6" s="3"/>
      <c r="Z6" s="20"/>
      <c r="AB6" s="3"/>
      <c r="AC6" s="3"/>
      <c r="AD6" s="3"/>
      <c r="AE6" s="3"/>
      <c r="AF6" s="21"/>
    </row>
    <row r="7" spans="1:32" x14ac:dyDescent="0.3">
      <c r="A7" s="3" t="s">
        <v>597</v>
      </c>
      <c r="B7" s="3" t="s">
        <v>598</v>
      </c>
      <c r="C7" s="3" t="s">
        <v>599</v>
      </c>
      <c r="D7" s="3">
        <v>0.1</v>
      </c>
      <c r="E7" s="3" t="s">
        <v>570</v>
      </c>
      <c r="F7" s="3">
        <v>200</v>
      </c>
      <c r="G7" s="3">
        <v>1</v>
      </c>
      <c r="H7" s="3" t="s">
        <v>120</v>
      </c>
      <c r="I7" s="3" t="s">
        <v>571</v>
      </c>
      <c r="J7" s="3" t="s">
        <v>572</v>
      </c>
      <c r="K7" s="3" t="s">
        <v>123</v>
      </c>
      <c r="L7" s="19" t="s">
        <v>573</v>
      </c>
      <c r="M7" s="3" t="s">
        <v>600</v>
      </c>
      <c r="N7" s="3" t="s">
        <v>601</v>
      </c>
      <c r="P7" s="20" t="s">
        <v>127</v>
      </c>
      <c r="Q7" s="3"/>
      <c r="R7" s="3"/>
      <c r="T7" s="3"/>
      <c r="U7" s="3"/>
      <c r="V7" s="19"/>
      <c r="X7" s="3"/>
      <c r="Y7" s="3"/>
      <c r="Z7" s="20"/>
      <c r="AB7" s="3"/>
      <c r="AC7" s="3"/>
      <c r="AD7" s="3"/>
      <c r="AE7" s="3"/>
      <c r="AF7" s="21"/>
    </row>
    <row r="8" spans="1:32" x14ac:dyDescent="0.3">
      <c r="A8" s="3" t="s">
        <v>602</v>
      </c>
      <c r="B8" s="3" t="s">
        <v>603</v>
      </c>
      <c r="C8" s="3" t="s">
        <v>604</v>
      </c>
      <c r="D8" s="3">
        <v>0.1</v>
      </c>
      <c r="E8" s="3" t="s">
        <v>570</v>
      </c>
      <c r="F8" s="3">
        <v>200</v>
      </c>
      <c r="G8" s="3">
        <v>1</v>
      </c>
      <c r="H8" s="3" t="s">
        <v>120</v>
      </c>
      <c r="I8" s="3" t="s">
        <v>571</v>
      </c>
      <c r="J8" s="3" t="s">
        <v>572</v>
      </c>
      <c r="K8" s="3" t="s">
        <v>123</v>
      </c>
      <c r="L8" s="19" t="s">
        <v>573</v>
      </c>
      <c r="M8" s="3" t="s">
        <v>605</v>
      </c>
      <c r="N8" s="3" t="s">
        <v>606</v>
      </c>
      <c r="P8" s="20" t="s">
        <v>127</v>
      </c>
      <c r="Q8" s="3"/>
      <c r="R8" s="3"/>
      <c r="T8" s="3"/>
      <c r="U8" s="3"/>
      <c r="V8" s="19"/>
      <c r="X8" s="3"/>
      <c r="Y8" s="3"/>
      <c r="Z8" s="20"/>
      <c r="AB8" s="3"/>
      <c r="AC8" s="3"/>
      <c r="AD8" s="3"/>
      <c r="AE8" s="3"/>
      <c r="AF8" s="21"/>
    </row>
    <row r="9" spans="1:32" x14ac:dyDescent="0.3">
      <c r="A9" s="3" t="s">
        <v>607</v>
      </c>
      <c r="B9" s="3" t="s">
        <v>608</v>
      </c>
      <c r="C9" s="3" t="s">
        <v>609</v>
      </c>
      <c r="D9" s="3">
        <v>0.1</v>
      </c>
      <c r="E9" s="3" t="s">
        <v>570</v>
      </c>
      <c r="F9" s="3">
        <v>200</v>
      </c>
      <c r="G9" s="3">
        <v>1</v>
      </c>
      <c r="H9" s="3" t="s">
        <v>120</v>
      </c>
      <c r="I9" s="3" t="s">
        <v>571</v>
      </c>
      <c r="J9" s="3" t="s">
        <v>572</v>
      </c>
      <c r="K9" s="3" t="s">
        <v>123</v>
      </c>
      <c r="L9" s="19" t="s">
        <v>573</v>
      </c>
      <c r="M9" s="3" t="s">
        <v>610</v>
      </c>
      <c r="N9" s="3" t="s">
        <v>611</v>
      </c>
      <c r="P9" s="20" t="s">
        <v>127</v>
      </c>
      <c r="Q9" s="3"/>
      <c r="R9" s="3"/>
      <c r="T9" s="3"/>
      <c r="U9" s="3"/>
      <c r="V9" s="19"/>
      <c r="X9" s="3"/>
      <c r="Y9" s="3"/>
      <c r="Z9" s="20"/>
      <c r="AB9" s="3"/>
      <c r="AC9" s="3"/>
      <c r="AD9" s="3"/>
      <c r="AE9" s="3"/>
      <c r="AF9" s="21"/>
    </row>
    <row r="10" spans="1:32" x14ac:dyDescent="0.3">
      <c r="A10" s="3" t="s">
        <v>612</v>
      </c>
      <c r="B10" s="3" t="s">
        <v>613</v>
      </c>
      <c r="C10" s="3" t="s">
        <v>614</v>
      </c>
      <c r="D10" s="3">
        <v>0.1</v>
      </c>
      <c r="E10" s="3" t="s">
        <v>570</v>
      </c>
      <c r="F10" s="3">
        <v>200</v>
      </c>
      <c r="G10" s="3">
        <v>1</v>
      </c>
      <c r="H10" s="3" t="s">
        <v>120</v>
      </c>
      <c r="I10" s="3" t="s">
        <v>571</v>
      </c>
      <c r="J10" s="3" t="s">
        <v>572</v>
      </c>
      <c r="K10" s="3" t="s">
        <v>123</v>
      </c>
      <c r="L10" s="19" t="s">
        <v>573</v>
      </c>
      <c r="M10" s="3" t="s">
        <v>615</v>
      </c>
      <c r="N10" s="3" t="s">
        <v>616</v>
      </c>
      <c r="P10" s="20" t="s">
        <v>127</v>
      </c>
      <c r="Q10" s="3"/>
      <c r="R10" s="3"/>
      <c r="T10" s="3"/>
      <c r="U10" s="3"/>
      <c r="V10" s="19"/>
      <c r="X10" s="3"/>
      <c r="Y10" s="3"/>
      <c r="Z10" s="20"/>
      <c r="AB10" s="3"/>
      <c r="AC10" s="3"/>
      <c r="AD10" s="3"/>
      <c r="AE10" s="3"/>
      <c r="AF10" s="21"/>
    </row>
    <row r="11" spans="1:32" x14ac:dyDescent="0.3">
      <c r="A11" s="3" t="s">
        <v>617</v>
      </c>
      <c r="B11" s="3" t="s">
        <v>618</v>
      </c>
      <c r="C11" s="3" t="s">
        <v>619</v>
      </c>
      <c r="D11" s="3">
        <v>0.1</v>
      </c>
      <c r="E11" s="3" t="s">
        <v>570</v>
      </c>
      <c r="F11" s="3">
        <v>200</v>
      </c>
      <c r="G11" s="3">
        <v>1</v>
      </c>
      <c r="H11" s="3" t="s">
        <v>120</v>
      </c>
      <c r="I11" s="3" t="s">
        <v>571</v>
      </c>
      <c r="J11" s="3" t="s">
        <v>572</v>
      </c>
      <c r="K11" s="3" t="s">
        <v>123</v>
      </c>
      <c r="L11" s="19" t="s">
        <v>573</v>
      </c>
      <c r="M11" s="3" t="s">
        <v>620</v>
      </c>
      <c r="N11" s="3" t="s">
        <v>621</v>
      </c>
      <c r="P11" s="20" t="s">
        <v>127</v>
      </c>
      <c r="Q11" s="3"/>
      <c r="R11" s="3"/>
      <c r="T11" s="3"/>
      <c r="U11" s="3"/>
      <c r="V11" s="19"/>
      <c r="X11" s="3"/>
      <c r="Y11" s="3"/>
      <c r="Z11" s="20"/>
      <c r="AB11" s="3"/>
      <c r="AC11" s="3"/>
      <c r="AD11" s="3"/>
      <c r="AE11" s="3"/>
      <c r="AF11" s="21"/>
    </row>
    <row r="12" spans="1:32" x14ac:dyDescent="0.3">
      <c r="A12" s="3" t="s">
        <v>622</v>
      </c>
      <c r="B12" s="3" t="s">
        <v>623</v>
      </c>
      <c r="C12" s="3" t="s">
        <v>624</v>
      </c>
      <c r="D12" s="3">
        <v>0.1</v>
      </c>
      <c r="E12" s="3" t="s">
        <v>570</v>
      </c>
      <c r="F12" s="3">
        <v>200</v>
      </c>
      <c r="G12" s="3">
        <v>1</v>
      </c>
      <c r="H12" s="3" t="s">
        <v>120</v>
      </c>
      <c r="I12" s="3" t="s">
        <v>571</v>
      </c>
      <c r="J12" s="3" t="s">
        <v>572</v>
      </c>
      <c r="K12" s="3" t="s">
        <v>123</v>
      </c>
      <c r="L12" s="19" t="s">
        <v>573</v>
      </c>
      <c r="M12" s="3" t="s">
        <v>625</v>
      </c>
      <c r="N12" s="3" t="s">
        <v>626</v>
      </c>
      <c r="P12" s="20" t="s">
        <v>127</v>
      </c>
      <c r="Q12" s="3"/>
      <c r="R12" s="3"/>
      <c r="T12" s="3"/>
      <c r="U12" s="3"/>
      <c r="V12" s="19"/>
      <c r="X12" s="3"/>
      <c r="Y12" s="3"/>
      <c r="Z12" s="20"/>
      <c r="AB12" s="3"/>
      <c r="AC12" s="3"/>
      <c r="AD12" s="3"/>
      <c r="AE12" s="3"/>
      <c r="AF12" s="21"/>
    </row>
    <row r="13" spans="1:32" x14ac:dyDescent="0.3">
      <c r="A13" s="3" t="s">
        <v>627</v>
      </c>
      <c r="B13" s="3" t="s">
        <v>628</v>
      </c>
      <c r="C13" s="3" t="s">
        <v>629</v>
      </c>
      <c r="D13" s="3">
        <v>0.1</v>
      </c>
      <c r="E13" s="3" t="s">
        <v>570</v>
      </c>
      <c r="F13" s="3">
        <v>200</v>
      </c>
      <c r="G13" s="3">
        <v>1</v>
      </c>
      <c r="H13" s="3" t="s">
        <v>120</v>
      </c>
      <c r="I13" s="3" t="s">
        <v>571</v>
      </c>
      <c r="J13" s="3" t="s">
        <v>572</v>
      </c>
      <c r="K13" s="3" t="s">
        <v>123</v>
      </c>
      <c r="L13" s="19" t="s">
        <v>573</v>
      </c>
      <c r="M13" s="3" t="s">
        <v>630</v>
      </c>
      <c r="N13" s="3" t="s">
        <v>631</v>
      </c>
      <c r="P13" s="20" t="s">
        <v>127</v>
      </c>
      <c r="Q13" s="3"/>
      <c r="R13" s="3"/>
      <c r="T13" s="3"/>
      <c r="U13" s="3"/>
      <c r="V13" s="19"/>
      <c r="X13" s="3"/>
      <c r="Y13" s="3"/>
      <c r="Z13" s="20"/>
      <c r="AB13" s="3"/>
      <c r="AC13" s="3"/>
      <c r="AD13" s="3"/>
      <c r="AE13" s="3"/>
      <c r="AF13" s="21"/>
    </row>
    <row r="14" spans="1:32" x14ac:dyDescent="0.3">
      <c r="A14" s="3" t="s">
        <v>632</v>
      </c>
      <c r="B14" s="3" t="s">
        <v>633</v>
      </c>
      <c r="C14" s="3" t="s">
        <v>634</v>
      </c>
      <c r="D14" s="3">
        <v>0.1</v>
      </c>
      <c r="E14" s="3" t="s">
        <v>570</v>
      </c>
      <c r="F14" s="3">
        <v>200</v>
      </c>
      <c r="G14" s="3">
        <v>1</v>
      </c>
      <c r="H14" s="3" t="s">
        <v>120</v>
      </c>
      <c r="I14" s="3" t="s">
        <v>571</v>
      </c>
      <c r="J14" s="3" t="s">
        <v>572</v>
      </c>
      <c r="K14" s="3" t="s">
        <v>123</v>
      </c>
      <c r="L14" s="19" t="s">
        <v>573</v>
      </c>
      <c r="M14" s="3" t="s">
        <v>635</v>
      </c>
      <c r="N14" s="3" t="s">
        <v>636</v>
      </c>
      <c r="P14" s="20" t="s">
        <v>127</v>
      </c>
      <c r="Q14" s="3"/>
      <c r="R14" s="3"/>
      <c r="T14" s="3"/>
      <c r="U14" s="3"/>
      <c r="V14" s="19"/>
      <c r="X14" s="3"/>
      <c r="Y14" s="3"/>
      <c r="Z14" s="20"/>
      <c r="AB14" s="3"/>
      <c r="AC14" s="3"/>
      <c r="AD14" s="3"/>
      <c r="AE14" s="3"/>
      <c r="AF14" s="21"/>
    </row>
    <row r="15" spans="1:32" x14ac:dyDescent="0.3">
      <c r="A15" s="3" t="s">
        <v>637</v>
      </c>
      <c r="B15" s="3" t="s">
        <v>638</v>
      </c>
      <c r="C15" s="3" t="s">
        <v>639</v>
      </c>
      <c r="D15" s="3">
        <v>0.1</v>
      </c>
      <c r="E15" s="3" t="s">
        <v>570</v>
      </c>
      <c r="F15" s="3">
        <v>200</v>
      </c>
      <c r="G15" s="3">
        <v>1</v>
      </c>
      <c r="H15" s="3" t="s">
        <v>120</v>
      </c>
      <c r="I15" s="3" t="s">
        <v>571</v>
      </c>
      <c r="J15" s="3" t="s">
        <v>572</v>
      </c>
      <c r="K15" s="3" t="s">
        <v>123</v>
      </c>
      <c r="L15" s="19" t="s">
        <v>573</v>
      </c>
      <c r="M15" s="3" t="s">
        <v>640</v>
      </c>
      <c r="N15" s="3" t="s">
        <v>641</v>
      </c>
      <c r="P15" s="20" t="s">
        <v>127</v>
      </c>
      <c r="Q15" s="3"/>
      <c r="R15" s="3"/>
      <c r="T15" s="3"/>
      <c r="U15" s="3"/>
      <c r="V15" s="19"/>
      <c r="X15" s="3"/>
      <c r="Y15" s="3"/>
      <c r="Z15" s="20"/>
      <c r="AB15" s="3"/>
      <c r="AC15" s="3"/>
      <c r="AD15" s="3"/>
      <c r="AE15" s="3"/>
      <c r="AF15" s="21"/>
    </row>
    <row r="16" spans="1:32" x14ac:dyDescent="0.3">
      <c r="A16" s="3" t="s">
        <v>642</v>
      </c>
      <c r="B16" s="3" t="s">
        <v>643</v>
      </c>
      <c r="C16" s="3" t="s">
        <v>644</v>
      </c>
      <c r="D16" s="3">
        <v>0.1</v>
      </c>
      <c r="E16" s="3" t="s">
        <v>570</v>
      </c>
      <c r="F16" s="3">
        <v>200</v>
      </c>
      <c r="G16" s="3">
        <v>1</v>
      </c>
      <c r="H16" s="3" t="s">
        <v>120</v>
      </c>
      <c r="I16" s="3" t="s">
        <v>571</v>
      </c>
      <c r="J16" s="3" t="s">
        <v>572</v>
      </c>
      <c r="K16" s="3" t="s">
        <v>123</v>
      </c>
      <c r="L16" s="19" t="s">
        <v>573</v>
      </c>
      <c r="M16" s="3" t="s">
        <v>645</v>
      </c>
      <c r="N16" s="3" t="s">
        <v>646</v>
      </c>
      <c r="P16" s="20" t="s">
        <v>127</v>
      </c>
      <c r="Q16" s="3"/>
      <c r="R16" s="3"/>
      <c r="T16" s="3"/>
      <c r="U16" s="3"/>
      <c r="V16" s="19"/>
      <c r="X16" s="3"/>
      <c r="Y16" s="3"/>
      <c r="Z16" s="20"/>
      <c r="AB16" s="3"/>
      <c r="AC16" s="3"/>
      <c r="AD16" s="3"/>
      <c r="AE16" s="3"/>
      <c r="AF16" s="21"/>
    </row>
    <row r="17" spans="1:32" x14ac:dyDescent="0.3">
      <c r="A17" s="3" t="s">
        <v>647</v>
      </c>
      <c r="B17" s="3" t="s">
        <v>648</v>
      </c>
      <c r="C17" s="3" t="s">
        <v>649</v>
      </c>
      <c r="D17" s="3">
        <v>0.1</v>
      </c>
      <c r="E17" s="3" t="s">
        <v>570</v>
      </c>
      <c r="F17" s="3">
        <v>200</v>
      </c>
      <c r="G17" s="3">
        <v>1</v>
      </c>
      <c r="H17" s="3" t="s">
        <v>120</v>
      </c>
      <c r="I17" s="3" t="s">
        <v>571</v>
      </c>
      <c r="J17" s="3" t="s">
        <v>572</v>
      </c>
      <c r="K17" s="3" t="s">
        <v>123</v>
      </c>
      <c r="L17" s="19" t="s">
        <v>573</v>
      </c>
      <c r="M17" s="3" t="s">
        <v>650</v>
      </c>
      <c r="N17" s="3" t="s">
        <v>651</v>
      </c>
      <c r="P17" s="20" t="s">
        <v>127</v>
      </c>
      <c r="Q17" s="3"/>
      <c r="R17" s="3"/>
      <c r="T17" s="3"/>
      <c r="U17" s="3"/>
      <c r="V17" s="19"/>
      <c r="X17" s="3"/>
      <c r="Y17" s="3"/>
      <c r="Z17" s="20"/>
      <c r="AB17" s="3"/>
      <c r="AC17" s="3"/>
      <c r="AD17" s="3"/>
      <c r="AE17" s="3"/>
      <c r="AF17" s="21"/>
    </row>
    <row r="18" spans="1:32" x14ac:dyDescent="0.3">
      <c r="A18" s="3" t="s">
        <v>652</v>
      </c>
      <c r="B18" s="3" t="s">
        <v>653</v>
      </c>
      <c r="C18" s="3" t="s">
        <v>654</v>
      </c>
      <c r="D18" s="3">
        <v>0.1</v>
      </c>
      <c r="E18" s="3" t="s">
        <v>570</v>
      </c>
      <c r="F18" s="3">
        <v>200</v>
      </c>
      <c r="G18" s="3">
        <v>1</v>
      </c>
      <c r="H18" s="3" t="s">
        <v>120</v>
      </c>
      <c r="I18" s="3" t="s">
        <v>571</v>
      </c>
      <c r="J18" s="3" t="s">
        <v>572</v>
      </c>
      <c r="K18" s="3" t="s">
        <v>123</v>
      </c>
      <c r="L18" s="19" t="s">
        <v>573</v>
      </c>
      <c r="M18" s="3" t="s">
        <v>655</v>
      </c>
      <c r="N18" s="3" t="s">
        <v>656</v>
      </c>
      <c r="P18" s="20" t="s">
        <v>127</v>
      </c>
      <c r="Q18" s="3"/>
      <c r="R18" s="3"/>
      <c r="T18" s="3"/>
      <c r="U18" s="3"/>
      <c r="V18" s="19"/>
      <c r="X18" s="3"/>
      <c r="Y18" s="3"/>
      <c r="Z18" s="20"/>
      <c r="AB18" s="3"/>
      <c r="AC18" s="3"/>
      <c r="AD18" s="3"/>
      <c r="AE18" s="3"/>
      <c r="AF18" s="21"/>
    </row>
    <row r="19" spans="1:32" x14ac:dyDescent="0.3">
      <c r="A19" s="3" t="s">
        <v>657</v>
      </c>
      <c r="B19" s="3" t="s">
        <v>658</v>
      </c>
      <c r="C19" s="3" t="s">
        <v>659</v>
      </c>
      <c r="D19" s="3">
        <v>0.1</v>
      </c>
      <c r="E19" s="3" t="s">
        <v>570</v>
      </c>
      <c r="F19" s="3">
        <v>200</v>
      </c>
      <c r="G19" s="3">
        <v>1</v>
      </c>
      <c r="H19" s="3" t="s">
        <v>120</v>
      </c>
      <c r="I19" s="3" t="s">
        <v>571</v>
      </c>
      <c r="J19" s="3" t="s">
        <v>572</v>
      </c>
      <c r="K19" s="3" t="s">
        <v>123</v>
      </c>
      <c r="L19" s="19" t="s">
        <v>573</v>
      </c>
      <c r="M19" s="3" t="s">
        <v>660</v>
      </c>
      <c r="N19" s="3" t="s">
        <v>661</v>
      </c>
      <c r="P19" s="20" t="s">
        <v>127</v>
      </c>
      <c r="Q19" s="3"/>
      <c r="R19" s="3"/>
      <c r="T19" s="3"/>
      <c r="U19" s="3"/>
      <c r="V19" s="19"/>
      <c r="X19" s="3"/>
      <c r="Y19" s="3"/>
      <c r="Z19" s="20"/>
      <c r="AB19" s="3"/>
      <c r="AC19" s="3"/>
      <c r="AD19" s="3"/>
      <c r="AE19" s="3"/>
      <c r="AF19" s="21"/>
    </row>
    <row r="20" spans="1:32" x14ac:dyDescent="0.3">
      <c r="A20" s="3" t="s">
        <v>662</v>
      </c>
      <c r="B20" s="3" t="s">
        <v>663</v>
      </c>
      <c r="C20" s="3" t="s">
        <v>664</v>
      </c>
      <c r="D20" s="3">
        <v>0.1</v>
      </c>
      <c r="E20" s="3" t="s">
        <v>570</v>
      </c>
      <c r="F20" s="3">
        <v>200</v>
      </c>
      <c r="G20" s="3">
        <v>1</v>
      </c>
      <c r="H20" s="3" t="s">
        <v>120</v>
      </c>
      <c r="I20" s="3" t="s">
        <v>571</v>
      </c>
      <c r="J20" s="3" t="s">
        <v>572</v>
      </c>
      <c r="K20" s="3" t="s">
        <v>123</v>
      </c>
      <c r="L20" s="19" t="s">
        <v>573</v>
      </c>
      <c r="M20" s="3" t="s">
        <v>665</v>
      </c>
      <c r="N20" s="3" t="s">
        <v>666</v>
      </c>
      <c r="P20" s="20" t="s">
        <v>127</v>
      </c>
      <c r="Q20" s="3"/>
      <c r="R20" s="3"/>
      <c r="T20" s="3"/>
      <c r="U20" s="3"/>
      <c r="V20" s="19"/>
      <c r="X20" s="3"/>
      <c r="Y20" s="3"/>
      <c r="Z20" s="20"/>
      <c r="AB20" s="3"/>
      <c r="AC20" s="3"/>
      <c r="AD20" s="3"/>
      <c r="AE20" s="3"/>
      <c r="AF20" s="21"/>
    </row>
    <row r="21" spans="1:32" x14ac:dyDescent="0.3">
      <c r="A21" s="3" t="s">
        <v>667</v>
      </c>
      <c r="B21" s="3" t="s">
        <v>668</v>
      </c>
      <c r="C21" s="3" t="s">
        <v>669</v>
      </c>
      <c r="D21" s="3">
        <v>0.1</v>
      </c>
      <c r="E21" s="3" t="s">
        <v>570</v>
      </c>
      <c r="F21" s="3">
        <v>200</v>
      </c>
      <c r="G21" s="3">
        <v>1</v>
      </c>
      <c r="H21" s="3" t="s">
        <v>120</v>
      </c>
      <c r="I21" s="3" t="s">
        <v>571</v>
      </c>
      <c r="J21" s="3" t="s">
        <v>572</v>
      </c>
      <c r="K21" s="3" t="s">
        <v>123</v>
      </c>
      <c r="L21" s="19" t="s">
        <v>573</v>
      </c>
      <c r="M21" s="3" t="s">
        <v>670</v>
      </c>
      <c r="N21" s="3" t="s">
        <v>671</v>
      </c>
      <c r="P21" s="20" t="s">
        <v>127</v>
      </c>
      <c r="Q21" s="3"/>
      <c r="R21" s="3"/>
      <c r="T21" s="3"/>
      <c r="U21" s="3"/>
      <c r="V21" s="19"/>
      <c r="X21" s="3"/>
      <c r="Y21" s="3"/>
      <c r="Z21" s="20"/>
      <c r="AB21" s="3"/>
      <c r="AC21" s="3"/>
      <c r="AD21" s="3"/>
      <c r="AE21" s="3"/>
      <c r="AF21" s="21"/>
    </row>
    <row r="22" spans="1:32" x14ac:dyDescent="0.3">
      <c r="A22" s="3" t="s">
        <v>672</v>
      </c>
      <c r="B22" s="3" t="s">
        <v>673</v>
      </c>
      <c r="C22" s="3" t="s">
        <v>674</v>
      </c>
      <c r="D22" s="3">
        <v>0.1</v>
      </c>
      <c r="E22" s="3" t="s">
        <v>570</v>
      </c>
      <c r="F22" s="3">
        <v>200</v>
      </c>
      <c r="G22" s="3">
        <v>1</v>
      </c>
      <c r="H22" s="3" t="s">
        <v>120</v>
      </c>
      <c r="I22" s="3" t="s">
        <v>571</v>
      </c>
      <c r="J22" s="3" t="s">
        <v>572</v>
      </c>
      <c r="K22" s="3" t="s">
        <v>123</v>
      </c>
      <c r="L22" s="19" t="s">
        <v>573</v>
      </c>
      <c r="M22" s="3" t="s">
        <v>675</v>
      </c>
      <c r="N22" s="3" t="s">
        <v>676</v>
      </c>
      <c r="P22" s="20" t="s">
        <v>127</v>
      </c>
      <c r="Q22" s="3"/>
      <c r="R22" s="3"/>
      <c r="T22" s="3"/>
      <c r="U22" s="3"/>
      <c r="V22" s="19"/>
      <c r="X22" s="3"/>
      <c r="Y22" s="3"/>
      <c r="Z22" s="20"/>
      <c r="AB22" s="3"/>
      <c r="AC22" s="3"/>
      <c r="AD22" s="3"/>
      <c r="AE22" s="3"/>
      <c r="AF22" s="21"/>
    </row>
    <row r="23" spans="1:32" x14ac:dyDescent="0.3">
      <c r="A23" s="3" t="s">
        <v>677</v>
      </c>
      <c r="B23" s="3" t="s">
        <v>678</v>
      </c>
      <c r="C23" s="3" t="s">
        <v>679</v>
      </c>
      <c r="D23" s="3">
        <v>0.1</v>
      </c>
      <c r="E23" s="3" t="s">
        <v>570</v>
      </c>
      <c r="F23" s="3">
        <v>200</v>
      </c>
      <c r="G23" s="3">
        <v>1</v>
      </c>
      <c r="H23" s="3" t="s">
        <v>120</v>
      </c>
      <c r="I23" s="3" t="s">
        <v>571</v>
      </c>
      <c r="J23" s="3" t="s">
        <v>572</v>
      </c>
      <c r="K23" s="3" t="s">
        <v>123</v>
      </c>
      <c r="L23" s="19" t="s">
        <v>573</v>
      </c>
      <c r="M23" s="3" t="s">
        <v>680</v>
      </c>
      <c r="N23" s="3" t="s">
        <v>681</v>
      </c>
      <c r="P23" s="20" t="s">
        <v>127</v>
      </c>
      <c r="Q23" s="3"/>
      <c r="R23" s="3"/>
      <c r="T23" s="3"/>
      <c r="U23" s="3"/>
      <c r="V23" s="19"/>
      <c r="X23" s="3"/>
      <c r="Y23" s="3"/>
      <c r="Z23" s="20"/>
      <c r="AB23" s="3"/>
      <c r="AC23" s="3"/>
      <c r="AD23" s="3"/>
      <c r="AE23" s="3"/>
      <c r="AF23" s="21"/>
    </row>
    <row r="24" spans="1:32" x14ac:dyDescent="0.3">
      <c r="A24" s="3" t="s">
        <v>682</v>
      </c>
      <c r="B24" s="3" t="s">
        <v>683</v>
      </c>
      <c r="C24" s="3" t="s">
        <v>684</v>
      </c>
      <c r="D24" s="3">
        <v>0.1</v>
      </c>
      <c r="E24" s="3" t="s">
        <v>570</v>
      </c>
      <c r="F24" s="3">
        <v>200</v>
      </c>
      <c r="G24" s="3">
        <v>1</v>
      </c>
      <c r="H24" s="3" t="s">
        <v>120</v>
      </c>
      <c r="I24" s="3" t="s">
        <v>571</v>
      </c>
      <c r="J24" s="3" t="s">
        <v>572</v>
      </c>
      <c r="K24" s="3" t="s">
        <v>123</v>
      </c>
      <c r="L24" s="19" t="s">
        <v>573</v>
      </c>
      <c r="M24" s="3" t="s">
        <v>685</v>
      </c>
      <c r="N24" s="3" t="s">
        <v>686</v>
      </c>
      <c r="P24" s="20" t="s">
        <v>127</v>
      </c>
      <c r="Q24" s="3"/>
      <c r="R24" s="3"/>
      <c r="T24" s="3"/>
      <c r="U24" s="3"/>
      <c r="V24" s="19"/>
      <c r="X24" s="3"/>
      <c r="Y24" s="3"/>
      <c r="Z24" s="20"/>
      <c r="AB24" s="3"/>
      <c r="AC24" s="3"/>
      <c r="AD24" s="3"/>
      <c r="AE24" s="3"/>
      <c r="AF24" s="21"/>
    </row>
    <row r="25" spans="1:32" x14ac:dyDescent="0.3">
      <c r="A25" s="3" t="s">
        <v>687</v>
      </c>
      <c r="B25" s="3" t="s">
        <v>688</v>
      </c>
      <c r="C25" s="3" t="s">
        <v>689</v>
      </c>
      <c r="D25" s="3">
        <v>0.1</v>
      </c>
      <c r="E25" s="3" t="s">
        <v>570</v>
      </c>
      <c r="F25" s="3">
        <v>200</v>
      </c>
      <c r="G25" s="3">
        <v>1</v>
      </c>
      <c r="H25" s="3" t="s">
        <v>120</v>
      </c>
      <c r="I25" s="3" t="s">
        <v>571</v>
      </c>
      <c r="J25" s="3" t="s">
        <v>572</v>
      </c>
      <c r="K25" s="3" t="s">
        <v>123</v>
      </c>
      <c r="L25" s="19" t="s">
        <v>573</v>
      </c>
      <c r="M25" s="3" t="s">
        <v>690</v>
      </c>
      <c r="N25" s="3" t="s">
        <v>691</v>
      </c>
      <c r="P25" s="20" t="s">
        <v>127</v>
      </c>
      <c r="Q25" s="3"/>
      <c r="R25" s="3"/>
      <c r="T25" s="3"/>
      <c r="U25" s="3"/>
      <c r="V25" s="19"/>
      <c r="X25" s="3"/>
      <c r="Y25" s="3"/>
      <c r="Z25" s="20"/>
      <c r="AB25" s="3"/>
      <c r="AC25" s="3"/>
      <c r="AD25" s="3"/>
      <c r="AE25" s="3"/>
      <c r="AF25" s="21"/>
    </row>
    <row r="26" spans="1:32" x14ac:dyDescent="0.3">
      <c r="A26" s="3" t="s">
        <v>692</v>
      </c>
      <c r="B26" s="3" t="s">
        <v>693</v>
      </c>
      <c r="C26" s="3" t="s">
        <v>694</v>
      </c>
      <c r="D26" s="3">
        <v>0.1</v>
      </c>
      <c r="E26" s="3" t="s">
        <v>570</v>
      </c>
      <c r="F26" s="3">
        <v>200</v>
      </c>
      <c r="G26" s="3">
        <v>1</v>
      </c>
      <c r="H26" s="3" t="s">
        <v>120</v>
      </c>
      <c r="I26" s="3" t="s">
        <v>571</v>
      </c>
      <c r="J26" s="3" t="s">
        <v>572</v>
      </c>
      <c r="K26" s="3" t="s">
        <v>123</v>
      </c>
      <c r="L26" s="19" t="s">
        <v>573</v>
      </c>
      <c r="M26" s="3" t="s">
        <v>695</v>
      </c>
      <c r="N26" s="3" t="s">
        <v>696</v>
      </c>
      <c r="P26" s="20" t="s">
        <v>127</v>
      </c>
      <c r="Q26" s="3"/>
      <c r="R26" s="3"/>
      <c r="T26" s="3"/>
      <c r="U26" s="3"/>
      <c r="V26" s="19"/>
      <c r="X26" s="3"/>
      <c r="Y26" s="3"/>
      <c r="Z26" s="20"/>
      <c r="AB26" s="3"/>
      <c r="AC26" s="3"/>
      <c r="AD26" s="3"/>
      <c r="AE26" s="3"/>
      <c r="AF26" s="21"/>
    </row>
    <row r="27" spans="1:32" x14ac:dyDescent="0.3">
      <c r="A27" s="3" t="s">
        <v>697</v>
      </c>
      <c r="B27" s="3" t="s">
        <v>698</v>
      </c>
      <c r="C27" s="3" t="s">
        <v>699</v>
      </c>
      <c r="D27" s="3">
        <v>0.1</v>
      </c>
      <c r="E27" s="3" t="s">
        <v>570</v>
      </c>
      <c r="F27" s="3">
        <v>200</v>
      </c>
      <c r="G27" s="3">
        <v>1</v>
      </c>
      <c r="H27" s="3" t="s">
        <v>120</v>
      </c>
      <c r="I27" s="3" t="s">
        <v>571</v>
      </c>
      <c r="J27" s="3" t="s">
        <v>572</v>
      </c>
      <c r="K27" s="3" t="s">
        <v>123</v>
      </c>
      <c r="L27" s="19" t="s">
        <v>573</v>
      </c>
      <c r="M27" s="3" t="s">
        <v>700</v>
      </c>
      <c r="N27" s="3" t="s">
        <v>701</v>
      </c>
      <c r="P27" s="20" t="s">
        <v>127</v>
      </c>
      <c r="Q27" s="3"/>
      <c r="R27" s="3"/>
      <c r="T27" s="3"/>
      <c r="U27" s="3"/>
      <c r="V27" s="19"/>
      <c r="X27" s="3"/>
      <c r="Y27" s="3"/>
      <c r="Z27" s="20"/>
      <c r="AB27" s="3"/>
      <c r="AC27" s="3"/>
      <c r="AD27" s="3"/>
      <c r="AE27" s="3"/>
      <c r="AF27" s="21"/>
    </row>
    <row r="28" spans="1:32" x14ac:dyDescent="0.3">
      <c r="A28" s="3" t="s">
        <v>702</v>
      </c>
      <c r="B28" s="3" t="s">
        <v>703</v>
      </c>
      <c r="C28" s="3" t="s">
        <v>704</v>
      </c>
      <c r="D28" s="3">
        <v>0.1</v>
      </c>
      <c r="E28" s="3" t="s">
        <v>570</v>
      </c>
      <c r="F28" s="3">
        <v>200</v>
      </c>
      <c r="G28" s="3">
        <v>1</v>
      </c>
      <c r="H28" s="3" t="s">
        <v>120</v>
      </c>
      <c r="I28" s="3" t="s">
        <v>571</v>
      </c>
      <c r="J28" s="3" t="s">
        <v>572</v>
      </c>
      <c r="K28" s="3" t="s">
        <v>123</v>
      </c>
      <c r="L28" s="19" t="s">
        <v>573</v>
      </c>
      <c r="M28" s="3" t="s">
        <v>705</v>
      </c>
      <c r="N28" s="3" t="s">
        <v>706</v>
      </c>
      <c r="P28" s="20" t="s">
        <v>127</v>
      </c>
      <c r="Q28" s="3"/>
      <c r="R28" s="3"/>
      <c r="T28" s="3"/>
      <c r="U28" s="3"/>
      <c r="V28" s="19"/>
      <c r="X28" s="3"/>
      <c r="Y28" s="3"/>
      <c r="Z28" s="20"/>
      <c r="AB28" s="3"/>
      <c r="AC28" s="3"/>
      <c r="AD28" s="3"/>
      <c r="AE28" s="3"/>
      <c r="AF28" s="21"/>
    </row>
    <row r="29" spans="1:32" x14ac:dyDescent="0.3">
      <c r="A29" s="3" t="s">
        <v>707</v>
      </c>
      <c r="B29" s="3" t="s">
        <v>708</v>
      </c>
      <c r="C29" s="3" t="s">
        <v>709</v>
      </c>
      <c r="D29" s="3">
        <v>0.1</v>
      </c>
      <c r="E29" s="3" t="s">
        <v>570</v>
      </c>
      <c r="F29" s="3">
        <v>200</v>
      </c>
      <c r="G29" s="3">
        <v>1</v>
      </c>
      <c r="H29" s="3" t="s">
        <v>120</v>
      </c>
      <c r="I29" s="3" t="s">
        <v>571</v>
      </c>
      <c r="J29" s="3" t="s">
        <v>572</v>
      </c>
      <c r="K29" s="3" t="s">
        <v>123</v>
      </c>
      <c r="L29" s="19" t="s">
        <v>573</v>
      </c>
      <c r="M29" s="3" t="s">
        <v>710</v>
      </c>
      <c r="N29" s="3" t="s">
        <v>711</v>
      </c>
      <c r="P29" s="20" t="s">
        <v>127</v>
      </c>
      <c r="Q29" s="3"/>
      <c r="R29" s="3"/>
      <c r="T29" s="3"/>
      <c r="U29" s="3"/>
      <c r="V29" s="19"/>
      <c r="X29" s="3"/>
      <c r="Y29" s="3"/>
      <c r="Z29" s="20"/>
      <c r="AB29" s="3"/>
      <c r="AC29" s="3"/>
      <c r="AD29" s="3"/>
      <c r="AE29" s="3"/>
      <c r="AF29" s="21"/>
    </row>
    <row r="30" spans="1:32" x14ac:dyDescent="0.3">
      <c r="A30" s="3" t="s">
        <v>712</v>
      </c>
      <c r="B30" s="3" t="s">
        <v>713</v>
      </c>
      <c r="C30" s="3" t="s">
        <v>714</v>
      </c>
      <c r="D30" s="3">
        <v>0.1</v>
      </c>
      <c r="E30" s="3" t="s">
        <v>570</v>
      </c>
      <c r="F30" s="3">
        <v>200</v>
      </c>
      <c r="G30" s="3">
        <v>1</v>
      </c>
      <c r="H30" s="3" t="s">
        <v>120</v>
      </c>
      <c r="I30" s="3" t="s">
        <v>571</v>
      </c>
      <c r="J30" s="3" t="s">
        <v>572</v>
      </c>
      <c r="K30" s="3" t="s">
        <v>123</v>
      </c>
      <c r="L30" s="19" t="s">
        <v>573</v>
      </c>
      <c r="M30" s="3" t="s">
        <v>715</v>
      </c>
      <c r="N30" s="3" t="s">
        <v>716</v>
      </c>
      <c r="P30" s="20" t="s">
        <v>127</v>
      </c>
      <c r="Q30" s="3" t="s">
        <v>717</v>
      </c>
      <c r="R30" s="3" t="s">
        <v>718</v>
      </c>
      <c r="T30" s="3"/>
      <c r="U30" s="3" t="s">
        <v>127</v>
      </c>
      <c r="V30" s="19"/>
      <c r="X30" s="3"/>
      <c r="Y30" s="3"/>
      <c r="Z30" s="20"/>
      <c r="AB30" s="3"/>
      <c r="AC30" s="3"/>
      <c r="AD30" s="3"/>
      <c r="AE30" s="3"/>
      <c r="AF30" s="21"/>
    </row>
    <row r="31" spans="1:32" x14ac:dyDescent="0.3">
      <c r="A31" s="3" t="s">
        <v>719</v>
      </c>
      <c r="B31" s="3" t="s">
        <v>720</v>
      </c>
      <c r="C31" s="3" t="s">
        <v>721</v>
      </c>
      <c r="D31" s="3">
        <v>0.1</v>
      </c>
      <c r="E31" s="3" t="s">
        <v>570</v>
      </c>
      <c r="F31" s="3">
        <v>200</v>
      </c>
      <c r="G31" s="3">
        <v>1</v>
      </c>
      <c r="H31" s="3" t="s">
        <v>120</v>
      </c>
      <c r="I31" s="3" t="s">
        <v>571</v>
      </c>
      <c r="J31" s="3" t="s">
        <v>572</v>
      </c>
      <c r="K31" s="3" t="s">
        <v>123</v>
      </c>
      <c r="L31" s="19" t="s">
        <v>573</v>
      </c>
      <c r="M31" s="3" t="s">
        <v>722</v>
      </c>
      <c r="N31" s="3" t="s">
        <v>723</v>
      </c>
      <c r="P31" s="20" t="s">
        <v>127</v>
      </c>
      <c r="Q31" s="3"/>
      <c r="R31" s="3"/>
      <c r="T31" s="3"/>
      <c r="U31" s="3"/>
      <c r="V31" s="19"/>
      <c r="X31" s="3"/>
      <c r="Y31" s="3"/>
      <c r="Z31" s="20"/>
      <c r="AB31" s="3"/>
      <c r="AC31" s="3"/>
      <c r="AD31" s="3"/>
      <c r="AE31" s="3"/>
      <c r="AF31" s="21"/>
    </row>
    <row r="32" spans="1:32" x14ac:dyDescent="0.3">
      <c r="A32" s="3" t="s">
        <v>724</v>
      </c>
      <c r="B32" s="3" t="s">
        <v>725</v>
      </c>
      <c r="C32" s="3" t="s">
        <v>726</v>
      </c>
      <c r="D32" s="3">
        <v>0.1</v>
      </c>
      <c r="E32" s="3" t="s">
        <v>570</v>
      </c>
      <c r="F32" s="3">
        <v>200</v>
      </c>
      <c r="G32" s="3">
        <v>1</v>
      </c>
      <c r="H32" s="3" t="s">
        <v>120</v>
      </c>
      <c r="I32" s="3" t="s">
        <v>571</v>
      </c>
      <c r="J32" s="3" t="s">
        <v>572</v>
      </c>
      <c r="K32" s="3" t="s">
        <v>123</v>
      </c>
      <c r="L32" s="19" t="s">
        <v>573</v>
      </c>
      <c r="M32" s="3" t="s">
        <v>727</v>
      </c>
      <c r="N32" s="3" t="s">
        <v>728</v>
      </c>
      <c r="P32" s="20" t="s">
        <v>127</v>
      </c>
      <c r="Q32" s="3"/>
      <c r="R32" s="3"/>
      <c r="T32" s="3"/>
      <c r="U32" s="3"/>
      <c r="V32" s="19"/>
      <c r="X32" s="3"/>
      <c r="Y32" s="3"/>
      <c r="Z32" s="20"/>
      <c r="AB32" s="3"/>
      <c r="AC32" s="3"/>
      <c r="AD32" s="3"/>
      <c r="AE32" s="3"/>
      <c r="AF32" s="21"/>
    </row>
    <row r="33" spans="1:32" x14ac:dyDescent="0.3">
      <c r="A33" s="3" t="s">
        <v>729</v>
      </c>
      <c r="B33" s="3" t="s">
        <v>730</v>
      </c>
      <c r="C33" s="3" t="s">
        <v>731</v>
      </c>
      <c r="D33" s="3">
        <v>0.1</v>
      </c>
      <c r="E33" s="3" t="s">
        <v>570</v>
      </c>
      <c r="F33" s="3">
        <v>200</v>
      </c>
      <c r="G33" s="3">
        <v>1</v>
      </c>
      <c r="H33" s="3" t="s">
        <v>120</v>
      </c>
      <c r="I33" s="3" t="s">
        <v>571</v>
      </c>
      <c r="J33" s="3" t="s">
        <v>572</v>
      </c>
      <c r="K33" s="3" t="s">
        <v>123</v>
      </c>
      <c r="L33" s="19" t="s">
        <v>573</v>
      </c>
      <c r="M33" s="3" t="s">
        <v>732</v>
      </c>
      <c r="N33" s="3" t="s">
        <v>733</v>
      </c>
      <c r="P33" s="20" t="s">
        <v>127</v>
      </c>
      <c r="Q33" s="3"/>
      <c r="R33" s="3"/>
      <c r="T33" s="3"/>
      <c r="U33" s="3"/>
      <c r="V33" s="19"/>
      <c r="X33" s="3"/>
      <c r="Y33" s="3"/>
      <c r="Z33" s="20"/>
      <c r="AB33" s="3"/>
      <c r="AC33" s="3"/>
      <c r="AD33" s="3"/>
      <c r="AE33" s="3"/>
      <c r="AF33" s="21"/>
    </row>
    <row r="34" spans="1:32" x14ac:dyDescent="0.3">
      <c r="A34" s="3" t="s">
        <v>734</v>
      </c>
      <c r="B34" s="3" t="s">
        <v>735</v>
      </c>
      <c r="C34" s="3" t="s">
        <v>736</v>
      </c>
      <c r="D34" s="3">
        <v>0.1</v>
      </c>
      <c r="E34" s="3" t="s">
        <v>570</v>
      </c>
      <c r="F34" s="3">
        <v>200</v>
      </c>
      <c r="G34" s="3">
        <v>1</v>
      </c>
      <c r="H34" s="3" t="s">
        <v>120</v>
      </c>
      <c r="I34" s="3" t="s">
        <v>571</v>
      </c>
      <c r="J34" s="3" t="s">
        <v>572</v>
      </c>
      <c r="K34" s="3" t="s">
        <v>123</v>
      </c>
      <c r="L34" s="19" t="s">
        <v>573</v>
      </c>
      <c r="M34" s="3" t="s">
        <v>737</v>
      </c>
      <c r="N34" s="3" t="s">
        <v>738</v>
      </c>
      <c r="P34" s="20" t="s">
        <v>127</v>
      </c>
      <c r="Q34" s="3"/>
      <c r="R34" s="3"/>
      <c r="T34" s="3"/>
      <c r="U34" s="3"/>
      <c r="V34" s="19"/>
      <c r="X34" s="3"/>
      <c r="Y34" s="3"/>
      <c r="Z34" s="20"/>
      <c r="AB34" s="3"/>
      <c r="AC34" s="3"/>
      <c r="AD34" s="3"/>
      <c r="AE34" s="3"/>
      <c r="AF34" s="21"/>
    </row>
    <row r="35" spans="1:32" x14ac:dyDescent="0.3">
      <c r="A35" s="3" t="s">
        <v>739</v>
      </c>
      <c r="B35" s="3" t="s">
        <v>740</v>
      </c>
      <c r="C35" s="3" t="s">
        <v>741</v>
      </c>
      <c r="D35" s="3">
        <v>0.1</v>
      </c>
      <c r="E35" s="3" t="s">
        <v>570</v>
      </c>
      <c r="F35" s="3">
        <v>200</v>
      </c>
      <c r="G35" s="3">
        <v>1</v>
      </c>
      <c r="H35" s="3" t="s">
        <v>120</v>
      </c>
      <c r="I35" s="3" t="s">
        <v>571</v>
      </c>
      <c r="J35" s="3" t="s">
        <v>572</v>
      </c>
      <c r="K35" s="3" t="s">
        <v>123</v>
      </c>
      <c r="L35" s="19" t="s">
        <v>573</v>
      </c>
      <c r="M35" s="3" t="s">
        <v>742</v>
      </c>
      <c r="N35" s="3" t="s">
        <v>743</v>
      </c>
      <c r="P35" s="20" t="s">
        <v>127</v>
      </c>
      <c r="Q35" s="3"/>
      <c r="R35" s="3"/>
      <c r="T35" s="3"/>
      <c r="U35" s="3"/>
      <c r="V35" s="19"/>
      <c r="X35" s="3"/>
      <c r="Y35" s="3"/>
      <c r="Z35" s="20"/>
      <c r="AB35" s="3"/>
      <c r="AC35" s="3"/>
      <c r="AD35" s="3"/>
      <c r="AE35" s="3"/>
      <c r="AF35" s="21"/>
    </row>
    <row r="36" spans="1:32" x14ac:dyDescent="0.3">
      <c r="A36" s="3" t="s">
        <v>744</v>
      </c>
      <c r="B36" s="3" t="s">
        <v>745</v>
      </c>
      <c r="C36" s="3" t="s">
        <v>746</v>
      </c>
      <c r="D36" s="3">
        <v>0.1</v>
      </c>
      <c r="E36" s="3" t="s">
        <v>570</v>
      </c>
      <c r="F36" s="3">
        <v>200</v>
      </c>
      <c r="G36" s="3">
        <v>1</v>
      </c>
      <c r="H36" s="3" t="s">
        <v>120</v>
      </c>
      <c r="I36" s="3" t="s">
        <v>571</v>
      </c>
      <c r="J36" s="3" t="s">
        <v>572</v>
      </c>
      <c r="K36" s="3" t="s">
        <v>123</v>
      </c>
      <c r="L36" s="19" t="s">
        <v>573</v>
      </c>
      <c r="M36" s="3" t="s">
        <v>747</v>
      </c>
      <c r="N36" s="3" t="s">
        <v>748</v>
      </c>
      <c r="P36" s="20" t="s">
        <v>127</v>
      </c>
      <c r="Q36" s="3"/>
      <c r="R36" s="3"/>
      <c r="T36" s="3"/>
      <c r="U36" s="3"/>
      <c r="V36" s="19"/>
      <c r="X36" s="3"/>
      <c r="Y36" s="3"/>
      <c r="Z36" s="20"/>
      <c r="AB36" s="3"/>
      <c r="AC36" s="3"/>
      <c r="AD36" s="3"/>
      <c r="AE36" s="3"/>
      <c r="AF36" s="21"/>
    </row>
    <row r="37" spans="1:32" x14ac:dyDescent="0.3">
      <c r="A37" s="3" t="s">
        <v>749</v>
      </c>
      <c r="B37" s="3" t="s">
        <v>750</v>
      </c>
      <c r="C37" s="3" t="s">
        <v>751</v>
      </c>
      <c r="D37" s="3">
        <v>0.1</v>
      </c>
      <c r="E37" s="3" t="s">
        <v>570</v>
      </c>
      <c r="F37" s="3">
        <v>200</v>
      </c>
      <c r="G37" s="3">
        <v>1</v>
      </c>
      <c r="H37" s="3" t="s">
        <v>120</v>
      </c>
      <c r="I37" s="3" t="s">
        <v>571</v>
      </c>
      <c r="J37" s="3" t="s">
        <v>572</v>
      </c>
      <c r="K37" s="3" t="s">
        <v>123</v>
      </c>
      <c r="L37" s="19" t="s">
        <v>573</v>
      </c>
      <c r="M37" s="3" t="s">
        <v>752</v>
      </c>
      <c r="N37" s="3" t="s">
        <v>753</v>
      </c>
      <c r="P37" s="20" t="s">
        <v>127</v>
      </c>
      <c r="Q37" s="3"/>
      <c r="R37" s="3"/>
      <c r="T37" s="3"/>
      <c r="U37" s="3"/>
      <c r="V37" s="19"/>
      <c r="X37" s="3"/>
      <c r="Y37" s="3"/>
      <c r="Z37" s="20"/>
      <c r="AB37" s="3"/>
      <c r="AC37" s="3"/>
      <c r="AD37" s="3"/>
      <c r="AE37" s="3"/>
      <c r="AF37" s="21"/>
    </row>
    <row r="38" spans="1:32" x14ac:dyDescent="0.3">
      <c r="A38" s="3" t="s">
        <v>754</v>
      </c>
      <c r="B38" s="3" t="s">
        <v>755</v>
      </c>
      <c r="C38" s="3" t="s">
        <v>756</v>
      </c>
      <c r="D38" s="3">
        <v>0.1</v>
      </c>
      <c r="E38" s="3" t="s">
        <v>570</v>
      </c>
      <c r="F38" s="3">
        <v>200</v>
      </c>
      <c r="G38" s="3">
        <v>1</v>
      </c>
      <c r="H38" s="3" t="s">
        <v>120</v>
      </c>
      <c r="I38" s="3" t="s">
        <v>571</v>
      </c>
      <c r="J38" s="3" t="s">
        <v>572</v>
      </c>
      <c r="K38" s="3" t="s">
        <v>123</v>
      </c>
      <c r="L38" s="19" t="s">
        <v>573</v>
      </c>
      <c r="M38" s="3" t="s">
        <v>757</v>
      </c>
      <c r="N38" s="3" t="s">
        <v>758</v>
      </c>
      <c r="P38" s="20" t="s">
        <v>127</v>
      </c>
      <c r="Q38" s="3"/>
      <c r="R38" s="3"/>
      <c r="T38" s="3"/>
      <c r="U38" s="3"/>
      <c r="V38" s="19"/>
      <c r="X38" s="3"/>
      <c r="Y38" s="3"/>
      <c r="Z38" s="20"/>
      <c r="AB38" s="3"/>
      <c r="AC38" s="3"/>
      <c r="AD38" s="3"/>
      <c r="AE38" s="3"/>
      <c r="AF38" s="21"/>
    </row>
    <row r="39" spans="1:32" x14ac:dyDescent="0.3">
      <c r="A39" s="3" t="s">
        <v>759</v>
      </c>
      <c r="B39" s="3" t="s">
        <v>760</v>
      </c>
      <c r="C39" s="3" t="s">
        <v>569</v>
      </c>
      <c r="D39" s="3">
        <v>6.25E-2</v>
      </c>
      <c r="E39" s="3" t="s">
        <v>570</v>
      </c>
      <c r="F39" s="3">
        <v>200</v>
      </c>
      <c r="G39" s="3">
        <v>1</v>
      </c>
      <c r="H39" s="3" t="s">
        <v>130</v>
      </c>
      <c r="I39" s="3" t="s">
        <v>571</v>
      </c>
      <c r="J39" s="3" t="s">
        <v>761</v>
      </c>
      <c r="K39" s="3" t="s">
        <v>123</v>
      </c>
      <c r="L39" s="19" t="s">
        <v>573</v>
      </c>
      <c r="M39" s="3" t="s">
        <v>762</v>
      </c>
      <c r="N39" s="3" t="s">
        <v>763</v>
      </c>
      <c r="P39" s="20" t="s">
        <v>127</v>
      </c>
      <c r="Q39" s="3"/>
      <c r="R39" s="3"/>
      <c r="T39" s="3"/>
      <c r="U39" s="3"/>
      <c r="V39" s="19"/>
      <c r="X39" s="3"/>
      <c r="Y39" s="3"/>
      <c r="Z39" s="20"/>
      <c r="AB39" s="3"/>
      <c r="AC39" s="3"/>
      <c r="AD39" s="3"/>
      <c r="AE39" s="3"/>
      <c r="AF39" s="21"/>
    </row>
    <row r="40" spans="1:32" x14ac:dyDescent="0.3">
      <c r="A40" s="3" t="s">
        <v>764</v>
      </c>
      <c r="B40" s="3" t="s">
        <v>765</v>
      </c>
      <c r="C40" s="3" t="s">
        <v>584</v>
      </c>
      <c r="D40" s="3">
        <v>6.25E-2</v>
      </c>
      <c r="E40" s="3" t="s">
        <v>570</v>
      </c>
      <c r="F40" s="3">
        <v>200</v>
      </c>
      <c r="G40" s="3">
        <v>1</v>
      </c>
      <c r="H40" s="3" t="s">
        <v>130</v>
      </c>
      <c r="I40" s="3" t="s">
        <v>571</v>
      </c>
      <c r="J40" s="3" t="s">
        <v>761</v>
      </c>
      <c r="K40" s="3" t="s">
        <v>123</v>
      </c>
      <c r="L40" s="19" t="s">
        <v>573</v>
      </c>
      <c r="M40" s="3" t="s">
        <v>766</v>
      </c>
      <c r="N40" s="3" t="s">
        <v>767</v>
      </c>
      <c r="P40" s="20" t="s">
        <v>127</v>
      </c>
      <c r="Q40" s="3"/>
      <c r="R40" s="3"/>
      <c r="T40" s="3"/>
      <c r="U40" s="3"/>
      <c r="V40" s="19"/>
      <c r="X40" s="3"/>
      <c r="Y40" s="3"/>
      <c r="Z40" s="20"/>
      <c r="AB40" s="3"/>
      <c r="AC40" s="3"/>
      <c r="AD40" s="3"/>
      <c r="AE40" s="3"/>
      <c r="AF40" s="21"/>
    </row>
    <row r="41" spans="1:32" x14ac:dyDescent="0.3">
      <c r="A41" s="3" t="s">
        <v>768</v>
      </c>
      <c r="B41" s="3" t="s">
        <v>769</v>
      </c>
      <c r="C41" s="3" t="s">
        <v>589</v>
      </c>
      <c r="D41" s="3">
        <v>6.25E-2</v>
      </c>
      <c r="E41" s="3" t="s">
        <v>570</v>
      </c>
      <c r="F41" s="3">
        <v>200</v>
      </c>
      <c r="G41" s="3">
        <v>1</v>
      </c>
      <c r="H41" s="3" t="s">
        <v>130</v>
      </c>
      <c r="I41" s="3" t="s">
        <v>571</v>
      </c>
      <c r="J41" s="3" t="s">
        <v>761</v>
      </c>
      <c r="K41" s="3" t="s">
        <v>123</v>
      </c>
      <c r="L41" s="19" t="s">
        <v>573</v>
      </c>
      <c r="M41" s="3" t="s">
        <v>770</v>
      </c>
      <c r="N41" s="3" t="s">
        <v>771</v>
      </c>
      <c r="P41" s="20" t="s">
        <v>127</v>
      </c>
      <c r="Q41" s="3"/>
      <c r="R41" s="3"/>
      <c r="T41" s="3"/>
      <c r="U41" s="3"/>
      <c r="V41" s="19"/>
      <c r="X41" s="3"/>
      <c r="Y41" s="3"/>
      <c r="Z41" s="20"/>
      <c r="AB41" s="3"/>
      <c r="AC41" s="3"/>
      <c r="AD41" s="3"/>
      <c r="AE41" s="3"/>
      <c r="AF41" s="21"/>
    </row>
    <row r="42" spans="1:32" x14ac:dyDescent="0.3">
      <c r="A42" s="3" t="s">
        <v>772</v>
      </c>
      <c r="B42" s="3" t="s">
        <v>773</v>
      </c>
      <c r="C42" s="3" t="s">
        <v>594</v>
      </c>
      <c r="D42" s="3">
        <v>6.25E-2</v>
      </c>
      <c r="E42" s="3" t="s">
        <v>570</v>
      </c>
      <c r="F42" s="3">
        <v>200</v>
      </c>
      <c r="G42" s="3">
        <v>1</v>
      </c>
      <c r="H42" s="3" t="s">
        <v>130</v>
      </c>
      <c r="I42" s="3" t="s">
        <v>571</v>
      </c>
      <c r="J42" s="3" t="s">
        <v>761</v>
      </c>
      <c r="K42" s="3" t="s">
        <v>123</v>
      </c>
      <c r="L42" s="19" t="s">
        <v>573</v>
      </c>
      <c r="M42" s="3" t="s">
        <v>774</v>
      </c>
      <c r="N42" s="3" t="s">
        <v>775</v>
      </c>
      <c r="P42" s="20" t="s">
        <v>127</v>
      </c>
      <c r="Q42" s="3"/>
      <c r="R42" s="3"/>
      <c r="T42" s="3"/>
      <c r="U42" s="3"/>
      <c r="V42" s="19"/>
      <c r="X42" s="3"/>
      <c r="Y42" s="3"/>
      <c r="Z42" s="20"/>
      <c r="AB42" s="3"/>
      <c r="AC42" s="3"/>
      <c r="AD42" s="3"/>
      <c r="AE42" s="3"/>
      <c r="AF42" s="21"/>
    </row>
    <row r="43" spans="1:32" x14ac:dyDescent="0.3">
      <c r="A43" s="3" t="s">
        <v>776</v>
      </c>
      <c r="B43" s="3" t="s">
        <v>777</v>
      </c>
      <c r="C43" s="3" t="s">
        <v>599</v>
      </c>
      <c r="D43" s="3">
        <v>6.25E-2</v>
      </c>
      <c r="E43" s="3" t="s">
        <v>570</v>
      </c>
      <c r="F43" s="3">
        <v>200</v>
      </c>
      <c r="G43" s="3">
        <v>1</v>
      </c>
      <c r="H43" s="3" t="s">
        <v>130</v>
      </c>
      <c r="I43" s="3" t="s">
        <v>571</v>
      </c>
      <c r="J43" s="3" t="s">
        <v>761</v>
      </c>
      <c r="K43" s="3" t="s">
        <v>123</v>
      </c>
      <c r="L43" s="19" t="s">
        <v>573</v>
      </c>
      <c r="M43" s="3" t="s">
        <v>778</v>
      </c>
      <c r="N43" s="3" t="s">
        <v>779</v>
      </c>
      <c r="P43" s="20" t="s">
        <v>127</v>
      </c>
      <c r="Q43" s="3"/>
      <c r="R43" s="3"/>
      <c r="T43" s="3"/>
      <c r="U43" s="3"/>
      <c r="V43" s="19"/>
      <c r="X43" s="3"/>
      <c r="Y43" s="3"/>
      <c r="Z43" s="20"/>
      <c r="AB43" s="3"/>
      <c r="AC43" s="3"/>
      <c r="AD43" s="3"/>
      <c r="AE43" s="3"/>
      <c r="AF43" s="21"/>
    </row>
    <row r="44" spans="1:32" x14ac:dyDescent="0.3">
      <c r="A44" s="3" t="s">
        <v>780</v>
      </c>
      <c r="B44" s="3" t="s">
        <v>781</v>
      </c>
      <c r="C44" s="3" t="s">
        <v>604</v>
      </c>
      <c r="D44" s="3">
        <v>6.25E-2</v>
      </c>
      <c r="E44" s="3" t="s">
        <v>570</v>
      </c>
      <c r="F44" s="3">
        <v>200</v>
      </c>
      <c r="G44" s="3">
        <v>1</v>
      </c>
      <c r="H44" s="3" t="s">
        <v>130</v>
      </c>
      <c r="I44" s="3" t="s">
        <v>571</v>
      </c>
      <c r="J44" s="3" t="s">
        <v>761</v>
      </c>
      <c r="K44" s="3" t="s">
        <v>123</v>
      </c>
      <c r="L44" s="19" t="s">
        <v>573</v>
      </c>
      <c r="M44" s="3" t="s">
        <v>782</v>
      </c>
      <c r="N44" s="3" t="s">
        <v>783</v>
      </c>
      <c r="P44" s="20" t="s">
        <v>127</v>
      </c>
      <c r="Q44" s="3"/>
      <c r="R44" s="3"/>
      <c r="T44" s="3"/>
      <c r="U44" s="3"/>
      <c r="V44" s="19"/>
      <c r="X44" s="3"/>
      <c r="Y44" s="3"/>
      <c r="Z44" s="20"/>
      <c r="AB44" s="3"/>
      <c r="AC44" s="3"/>
      <c r="AD44" s="3"/>
      <c r="AE44" s="3"/>
      <c r="AF44" s="21"/>
    </row>
    <row r="45" spans="1:32" x14ac:dyDescent="0.3">
      <c r="A45" s="3" t="s">
        <v>784</v>
      </c>
      <c r="B45" s="3" t="s">
        <v>785</v>
      </c>
      <c r="C45" s="3" t="s">
        <v>609</v>
      </c>
      <c r="D45" s="3">
        <v>6.25E-2</v>
      </c>
      <c r="E45" s="3" t="s">
        <v>570</v>
      </c>
      <c r="F45" s="3">
        <v>200</v>
      </c>
      <c r="G45" s="3">
        <v>1</v>
      </c>
      <c r="H45" s="3" t="s">
        <v>130</v>
      </c>
      <c r="I45" s="3" t="s">
        <v>571</v>
      </c>
      <c r="J45" s="3" t="s">
        <v>761</v>
      </c>
      <c r="K45" s="3" t="s">
        <v>123</v>
      </c>
      <c r="L45" s="19" t="s">
        <v>573</v>
      </c>
      <c r="M45" s="3" t="s">
        <v>786</v>
      </c>
      <c r="N45" s="3" t="s">
        <v>787</v>
      </c>
      <c r="P45" s="20" t="s">
        <v>127</v>
      </c>
      <c r="Q45" s="3"/>
      <c r="R45" s="3"/>
      <c r="T45" s="3"/>
      <c r="U45" s="3"/>
      <c r="V45" s="19"/>
      <c r="X45" s="3"/>
      <c r="Y45" s="3"/>
      <c r="Z45" s="20"/>
      <c r="AB45" s="3"/>
      <c r="AC45" s="3"/>
      <c r="AD45" s="3"/>
      <c r="AE45" s="3"/>
      <c r="AF45" s="21"/>
    </row>
    <row r="46" spans="1:32" x14ac:dyDescent="0.3">
      <c r="A46" s="3" t="s">
        <v>788</v>
      </c>
      <c r="B46" s="3" t="s">
        <v>789</v>
      </c>
      <c r="C46" s="3" t="s">
        <v>614</v>
      </c>
      <c r="D46" s="3">
        <v>6.25E-2</v>
      </c>
      <c r="E46" s="3" t="s">
        <v>570</v>
      </c>
      <c r="F46" s="3">
        <v>200</v>
      </c>
      <c r="G46" s="3">
        <v>1</v>
      </c>
      <c r="H46" s="3" t="s">
        <v>130</v>
      </c>
      <c r="I46" s="3" t="s">
        <v>571</v>
      </c>
      <c r="J46" s="3" t="s">
        <v>761</v>
      </c>
      <c r="K46" s="3" t="s">
        <v>123</v>
      </c>
      <c r="L46" s="19" t="s">
        <v>573</v>
      </c>
      <c r="M46" s="3" t="s">
        <v>790</v>
      </c>
      <c r="N46" s="3" t="s">
        <v>791</v>
      </c>
      <c r="P46" s="20" t="s">
        <v>127</v>
      </c>
      <c r="Q46" s="3"/>
      <c r="R46" s="3"/>
      <c r="T46" s="3"/>
      <c r="U46" s="3"/>
      <c r="V46" s="19"/>
      <c r="X46" s="3"/>
      <c r="Y46" s="3"/>
      <c r="Z46" s="20"/>
      <c r="AB46" s="3"/>
      <c r="AC46" s="3"/>
      <c r="AD46" s="3"/>
      <c r="AE46" s="3"/>
      <c r="AF46" s="21"/>
    </row>
    <row r="47" spans="1:32" x14ac:dyDescent="0.3">
      <c r="A47" s="3" t="s">
        <v>792</v>
      </c>
      <c r="B47" s="3" t="s">
        <v>793</v>
      </c>
      <c r="C47" s="3" t="s">
        <v>794</v>
      </c>
      <c r="D47" s="3">
        <v>6.25E-2</v>
      </c>
      <c r="E47" s="3" t="s">
        <v>570</v>
      </c>
      <c r="F47" s="3">
        <v>200</v>
      </c>
      <c r="G47" s="3">
        <v>1</v>
      </c>
      <c r="H47" s="3" t="s">
        <v>130</v>
      </c>
      <c r="I47" s="3" t="s">
        <v>571</v>
      </c>
      <c r="J47" s="3" t="s">
        <v>761</v>
      </c>
      <c r="K47" s="3" t="s">
        <v>123</v>
      </c>
      <c r="L47" s="19" t="s">
        <v>573</v>
      </c>
      <c r="M47" s="3" t="s">
        <v>795</v>
      </c>
      <c r="N47" s="3" t="s">
        <v>796</v>
      </c>
      <c r="P47" s="20" t="s">
        <v>127</v>
      </c>
      <c r="Q47" s="3"/>
      <c r="R47" s="3"/>
      <c r="T47" s="3"/>
      <c r="U47" s="3"/>
      <c r="V47" s="19"/>
      <c r="X47" s="3"/>
      <c r="Y47" s="3"/>
      <c r="Z47" s="20"/>
      <c r="AB47" s="3"/>
      <c r="AC47" s="3"/>
      <c r="AD47" s="3"/>
      <c r="AE47" s="3"/>
      <c r="AF47" s="21"/>
    </row>
    <row r="48" spans="1:32" x14ac:dyDescent="0.3">
      <c r="A48" s="3" t="s">
        <v>797</v>
      </c>
      <c r="B48" s="3" t="s">
        <v>798</v>
      </c>
      <c r="C48" s="3" t="s">
        <v>799</v>
      </c>
      <c r="D48" s="3">
        <v>6.25E-2</v>
      </c>
      <c r="E48" s="3" t="s">
        <v>570</v>
      </c>
      <c r="F48" s="3">
        <v>200</v>
      </c>
      <c r="G48" s="3">
        <v>1</v>
      </c>
      <c r="H48" s="3" t="s">
        <v>130</v>
      </c>
      <c r="I48" s="3" t="s">
        <v>571</v>
      </c>
      <c r="J48" s="3" t="s">
        <v>761</v>
      </c>
      <c r="K48" s="3" t="s">
        <v>123</v>
      </c>
      <c r="L48" s="19" t="s">
        <v>573</v>
      </c>
      <c r="M48" s="3" t="s">
        <v>800</v>
      </c>
      <c r="N48" s="3" t="s">
        <v>801</v>
      </c>
      <c r="P48" s="20" t="s">
        <v>127</v>
      </c>
      <c r="Q48" s="3"/>
      <c r="R48" s="3"/>
      <c r="T48" s="3"/>
      <c r="U48" s="3"/>
      <c r="V48" s="19"/>
      <c r="X48" s="3"/>
      <c r="Y48" s="3"/>
      <c r="Z48" s="20"/>
      <c r="AB48" s="3"/>
      <c r="AC48" s="3"/>
      <c r="AD48" s="3"/>
      <c r="AE48" s="3"/>
      <c r="AF48" s="21"/>
    </row>
    <row r="49" spans="1:32" x14ac:dyDescent="0.3">
      <c r="A49" s="3" t="s">
        <v>802</v>
      </c>
      <c r="B49" s="3" t="s">
        <v>803</v>
      </c>
      <c r="C49" s="3" t="s">
        <v>804</v>
      </c>
      <c r="D49" s="3">
        <v>6.25E-2</v>
      </c>
      <c r="E49" s="3" t="s">
        <v>570</v>
      </c>
      <c r="F49" s="3">
        <v>200</v>
      </c>
      <c r="G49" s="3">
        <v>1</v>
      </c>
      <c r="H49" s="3" t="s">
        <v>130</v>
      </c>
      <c r="I49" s="3" t="s">
        <v>571</v>
      </c>
      <c r="J49" s="3" t="s">
        <v>761</v>
      </c>
      <c r="K49" s="3" t="s">
        <v>123</v>
      </c>
      <c r="L49" s="19" t="s">
        <v>573</v>
      </c>
      <c r="M49" s="3" t="s">
        <v>805</v>
      </c>
      <c r="N49" s="3" t="s">
        <v>806</v>
      </c>
      <c r="P49" s="20" t="s">
        <v>127</v>
      </c>
      <c r="Q49" s="3"/>
      <c r="R49" s="3"/>
      <c r="T49" s="3"/>
      <c r="U49" s="3"/>
      <c r="V49" s="19"/>
      <c r="X49" s="3"/>
      <c r="Y49" s="3"/>
      <c r="Z49" s="20"/>
      <c r="AB49" s="3"/>
      <c r="AC49" s="3"/>
      <c r="AD49" s="3"/>
      <c r="AE49" s="3"/>
      <c r="AF49" s="21"/>
    </row>
    <row r="50" spans="1:32" x14ac:dyDescent="0.3">
      <c r="A50" s="3" t="s">
        <v>807</v>
      </c>
      <c r="B50" s="3" t="s">
        <v>808</v>
      </c>
      <c r="C50" s="3" t="s">
        <v>809</v>
      </c>
      <c r="D50" s="3">
        <v>6.25E-2</v>
      </c>
      <c r="E50" s="3" t="s">
        <v>570</v>
      </c>
      <c r="F50" s="3">
        <v>200</v>
      </c>
      <c r="G50" s="3">
        <v>1</v>
      </c>
      <c r="H50" s="3" t="s">
        <v>130</v>
      </c>
      <c r="I50" s="3" t="s">
        <v>571</v>
      </c>
      <c r="J50" s="3" t="s">
        <v>761</v>
      </c>
      <c r="K50" s="3" t="s">
        <v>123</v>
      </c>
      <c r="L50" s="19" t="s">
        <v>573</v>
      </c>
      <c r="M50" s="3" t="s">
        <v>810</v>
      </c>
      <c r="N50" s="3" t="s">
        <v>811</v>
      </c>
      <c r="P50" s="20" t="s">
        <v>127</v>
      </c>
      <c r="Q50" s="3"/>
      <c r="R50" s="3"/>
      <c r="T50" s="3"/>
      <c r="U50" s="3"/>
      <c r="V50" s="19"/>
      <c r="X50" s="3"/>
      <c r="Y50" s="3"/>
      <c r="Z50" s="20"/>
      <c r="AB50" s="3"/>
      <c r="AC50" s="3"/>
      <c r="AD50" s="3"/>
      <c r="AE50" s="3"/>
      <c r="AF50" s="21"/>
    </row>
    <row r="51" spans="1:32" x14ac:dyDescent="0.3">
      <c r="A51" s="3" t="s">
        <v>812</v>
      </c>
      <c r="B51" s="3" t="s">
        <v>813</v>
      </c>
      <c r="C51" s="3" t="s">
        <v>814</v>
      </c>
      <c r="D51" s="3">
        <v>6.25E-2</v>
      </c>
      <c r="E51" s="3" t="s">
        <v>570</v>
      </c>
      <c r="F51" s="3">
        <v>200</v>
      </c>
      <c r="G51" s="3">
        <v>1</v>
      </c>
      <c r="H51" s="3" t="s">
        <v>130</v>
      </c>
      <c r="I51" s="3" t="s">
        <v>571</v>
      </c>
      <c r="J51" s="3" t="s">
        <v>761</v>
      </c>
      <c r="K51" s="3" t="s">
        <v>123</v>
      </c>
      <c r="L51" s="19" t="s">
        <v>573</v>
      </c>
      <c r="M51" s="3" t="s">
        <v>815</v>
      </c>
      <c r="N51" s="3" t="s">
        <v>816</v>
      </c>
      <c r="P51" s="20" t="s">
        <v>127</v>
      </c>
      <c r="Q51" s="3"/>
      <c r="R51" s="3"/>
      <c r="T51" s="3"/>
      <c r="U51" s="3"/>
      <c r="V51" s="19"/>
      <c r="X51" s="3"/>
      <c r="Y51" s="3"/>
      <c r="Z51" s="20"/>
      <c r="AB51" s="3"/>
      <c r="AC51" s="3"/>
      <c r="AD51" s="3"/>
      <c r="AE51" s="3"/>
      <c r="AF51" s="21"/>
    </row>
    <row r="52" spans="1:32" x14ac:dyDescent="0.3">
      <c r="A52" s="3" t="s">
        <v>817</v>
      </c>
      <c r="B52" s="3" t="s">
        <v>818</v>
      </c>
      <c r="C52" s="3" t="s">
        <v>819</v>
      </c>
      <c r="D52" s="3">
        <v>6.25E-2</v>
      </c>
      <c r="E52" s="3" t="s">
        <v>570</v>
      </c>
      <c r="F52" s="3">
        <v>200</v>
      </c>
      <c r="G52" s="3">
        <v>1</v>
      </c>
      <c r="H52" s="3" t="s">
        <v>130</v>
      </c>
      <c r="I52" s="3" t="s">
        <v>571</v>
      </c>
      <c r="J52" s="3" t="s">
        <v>761</v>
      </c>
      <c r="K52" s="3" t="s">
        <v>123</v>
      </c>
      <c r="L52" s="19" t="s">
        <v>573</v>
      </c>
      <c r="M52" s="3" t="s">
        <v>820</v>
      </c>
      <c r="N52" s="3" t="s">
        <v>821</v>
      </c>
      <c r="P52" s="20" t="s">
        <v>127</v>
      </c>
      <c r="Q52" s="3"/>
      <c r="R52" s="3"/>
      <c r="T52" s="3"/>
      <c r="U52" s="3"/>
      <c r="V52" s="19"/>
      <c r="X52" s="3"/>
      <c r="Y52" s="3"/>
      <c r="Z52" s="20"/>
      <c r="AB52" s="3"/>
      <c r="AC52" s="3"/>
      <c r="AD52" s="3"/>
      <c r="AE52" s="3"/>
      <c r="AF52" s="21"/>
    </row>
    <row r="53" spans="1:32" x14ac:dyDescent="0.3">
      <c r="A53" s="3" t="s">
        <v>822</v>
      </c>
      <c r="B53" s="3" t="s">
        <v>823</v>
      </c>
      <c r="C53" s="3" t="s">
        <v>634</v>
      </c>
      <c r="D53" s="3">
        <v>6.25E-2</v>
      </c>
      <c r="E53" s="3" t="s">
        <v>570</v>
      </c>
      <c r="F53" s="3">
        <v>200</v>
      </c>
      <c r="G53" s="3">
        <v>1</v>
      </c>
      <c r="H53" s="3" t="s">
        <v>130</v>
      </c>
      <c r="I53" s="3" t="s">
        <v>571</v>
      </c>
      <c r="J53" s="3" t="s">
        <v>761</v>
      </c>
      <c r="K53" s="3" t="s">
        <v>123</v>
      </c>
      <c r="L53" s="19" t="s">
        <v>573</v>
      </c>
      <c r="M53" s="3" t="s">
        <v>824</v>
      </c>
      <c r="N53" s="3" t="s">
        <v>825</v>
      </c>
      <c r="P53" s="20" t="s">
        <v>127</v>
      </c>
      <c r="Q53" s="3"/>
      <c r="R53" s="3"/>
      <c r="T53" s="3"/>
      <c r="U53" s="3"/>
      <c r="V53" s="19"/>
      <c r="X53" s="3"/>
      <c r="Y53" s="3"/>
      <c r="Z53" s="20"/>
      <c r="AB53" s="3"/>
      <c r="AC53" s="3"/>
      <c r="AD53" s="3"/>
      <c r="AE53" s="3"/>
      <c r="AF53" s="21"/>
    </row>
    <row r="54" spans="1:32" x14ac:dyDescent="0.3">
      <c r="A54" s="3" t="s">
        <v>826</v>
      </c>
      <c r="B54" s="3" t="s">
        <v>827</v>
      </c>
      <c r="C54" s="3" t="s">
        <v>639</v>
      </c>
      <c r="D54" s="3">
        <v>6.25E-2</v>
      </c>
      <c r="E54" s="3" t="s">
        <v>570</v>
      </c>
      <c r="F54" s="3">
        <v>200</v>
      </c>
      <c r="G54" s="3">
        <v>1</v>
      </c>
      <c r="H54" s="3" t="s">
        <v>130</v>
      </c>
      <c r="I54" s="3" t="s">
        <v>571</v>
      </c>
      <c r="J54" s="3" t="s">
        <v>761</v>
      </c>
      <c r="K54" s="3" t="s">
        <v>123</v>
      </c>
      <c r="L54" s="19" t="s">
        <v>573</v>
      </c>
      <c r="M54" s="3" t="s">
        <v>828</v>
      </c>
      <c r="N54" s="3" t="s">
        <v>829</v>
      </c>
      <c r="P54" s="20" t="s">
        <v>127</v>
      </c>
      <c r="Q54" s="3"/>
      <c r="R54" s="3"/>
      <c r="T54" s="3"/>
      <c r="U54" s="3"/>
      <c r="V54" s="19"/>
      <c r="X54" s="3"/>
      <c r="Y54" s="3"/>
      <c r="Z54" s="20"/>
      <c r="AB54" s="3"/>
      <c r="AC54" s="3"/>
      <c r="AD54" s="3"/>
      <c r="AE54" s="3"/>
      <c r="AF54" s="21"/>
    </row>
    <row r="55" spans="1:32" x14ac:dyDescent="0.3">
      <c r="A55" s="3" t="s">
        <v>830</v>
      </c>
      <c r="B55" s="3" t="s">
        <v>831</v>
      </c>
      <c r="C55" s="3" t="s">
        <v>644</v>
      </c>
      <c r="D55" s="3">
        <v>6.25E-2</v>
      </c>
      <c r="E55" s="3" t="s">
        <v>570</v>
      </c>
      <c r="F55" s="3">
        <v>200</v>
      </c>
      <c r="G55" s="3">
        <v>1</v>
      </c>
      <c r="H55" s="3" t="s">
        <v>130</v>
      </c>
      <c r="I55" s="3" t="s">
        <v>571</v>
      </c>
      <c r="J55" s="3" t="s">
        <v>761</v>
      </c>
      <c r="K55" s="3" t="s">
        <v>123</v>
      </c>
      <c r="L55" s="19" t="s">
        <v>573</v>
      </c>
      <c r="M55" s="3" t="s">
        <v>832</v>
      </c>
      <c r="N55" s="3" t="s">
        <v>833</v>
      </c>
      <c r="P55" s="20" t="s">
        <v>127</v>
      </c>
      <c r="Q55" s="3"/>
      <c r="R55" s="3"/>
      <c r="T55" s="3"/>
      <c r="U55" s="3"/>
      <c r="V55" s="19"/>
      <c r="X55" s="3"/>
      <c r="Y55" s="3"/>
      <c r="Z55" s="20"/>
      <c r="AB55" s="3"/>
      <c r="AC55" s="3"/>
      <c r="AD55" s="3"/>
      <c r="AE55" s="3"/>
      <c r="AF55" s="21"/>
    </row>
    <row r="56" spans="1:32" x14ac:dyDescent="0.3">
      <c r="A56" s="3" t="s">
        <v>834</v>
      </c>
      <c r="B56" s="3" t="s">
        <v>835</v>
      </c>
      <c r="C56" s="3" t="s">
        <v>649</v>
      </c>
      <c r="D56" s="3">
        <v>6.25E-2</v>
      </c>
      <c r="E56" s="3" t="s">
        <v>570</v>
      </c>
      <c r="F56" s="3">
        <v>200</v>
      </c>
      <c r="G56" s="3">
        <v>1</v>
      </c>
      <c r="H56" s="3" t="s">
        <v>130</v>
      </c>
      <c r="I56" s="3" t="s">
        <v>571</v>
      </c>
      <c r="J56" s="3" t="s">
        <v>761</v>
      </c>
      <c r="K56" s="3" t="s">
        <v>123</v>
      </c>
      <c r="L56" s="19" t="s">
        <v>573</v>
      </c>
      <c r="M56" s="3" t="s">
        <v>836</v>
      </c>
      <c r="N56" s="3" t="s">
        <v>837</v>
      </c>
      <c r="P56" s="20" t="s">
        <v>127</v>
      </c>
      <c r="Q56" s="3"/>
      <c r="R56" s="3"/>
      <c r="T56" s="3"/>
      <c r="U56" s="3"/>
      <c r="V56" s="19"/>
      <c r="X56" s="3"/>
      <c r="Y56" s="3"/>
      <c r="Z56" s="20"/>
      <c r="AB56" s="3"/>
      <c r="AC56" s="3"/>
      <c r="AD56" s="3"/>
      <c r="AE56" s="3"/>
      <c r="AF56" s="21"/>
    </row>
    <row r="57" spans="1:32" x14ac:dyDescent="0.3">
      <c r="A57" s="3" t="s">
        <v>838</v>
      </c>
      <c r="B57" s="3" t="s">
        <v>839</v>
      </c>
      <c r="C57" s="3" t="s">
        <v>840</v>
      </c>
      <c r="D57" s="3">
        <v>6.25E-2</v>
      </c>
      <c r="E57" s="3" t="s">
        <v>570</v>
      </c>
      <c r="F57" s="3">
        <v>200</v>
      </c>
      <c r="G57" s="3">
        <v>1</v>
      </c>
      <c r="H57" s="3" t="s">
        <v>130</v>
      </c>
      <c r="I57" s="3" t="s">
        <v>571</v>
      </c>
      <c r="J57" s="3" t="s">
        <v>761</v>
      </c>
      <c r="K57" s="3" t="s">
        <v>841</v>
      </c>
      <c r="L57" s="19" t="s">
        <v>573</v>
      </c>
      <c r="M57" s="3" t="s">
        <v>842</v>
      </c>
      <c r="N57" s="3" t="s">
        <v>843</v>
      </c>
      <c r="P57" s="20" t="s">
        <v>127</v>
      </c>
      <c r="Q57" s="3"/>
      <c r="R57" s="3"/>
      <c r="T57" s="3"/>
      <c r="U57" s="3"/>
      <c r="V57" s="19"/>
      <c r="X57" s="3"/>
      <c r="Y57" s="3"/>
      <c r="Z57" s="20"/>
      <c r="AB57" s="3"/>
      <c r="AC57" s="3"/>
      <c r="AD57" s="3"/>
      <c r="AE57" s="3"/>
      <c r="AF57" s="21"/>
    </row>
    <row r="58" spans="1:32" x14ac:dyDescent="0.3">
      <c r="A58" s="3" t="s">
        <v>844</v>
      </c>
      <c r="B58" s="3" t="s">
        <v>845</v>
      </c>
      <c r="C58" s="3" t="s">
        <v>846</v>
      </c>
      <c r="D58" s="3">
        <v>6.25E-2</v>
      </c>
      <c r="E58" s="3" t="s">
        <v>570</v>
      </c>
      <c r="F58" s="3">
        <v>200</v>
      </c>
      <c r="G58" s="3">
        <v>1</v>
      </c>
      <c r="H58" s="3" t="s">
        <v>130</v>
      </c>
      <c r="I58" s="3" t="s">
        <v>571</v>
      </c>
      <c r="J58" s="3" t="s">
        <v>761</v>
      </c>
      <c r="K58" s="3" t="s">
        <v>123</v>
      </c>
      <c r="L58" s="19" t="s">
        <v>847</v>
      </c>
      <c r="M58" s="3" t="s">
        <v>848</v>
      </c>
      <c r="N58" s="3" t="s">
        <v>849</v>
      </c>
      <c r="P58" s="20" t="s">
        <v>127</v>
      </c>
      <c r="Q58" s="3"/>
      <c r="R58" s="3"/>
      <c r="T58" s="3"/>
      <c r="U58" s="3"/>
      <c r="V58" s="19"/>
      <c r="X58" s="3"/>
      <c r="Y58" s="3"/>
      <c r="Z58" s="20"/>
      <c r="AB58" s="3"/>
      <c r="AC58" s="3"/>
      <c r="AD58" s="3"/>
      <c r="AE58" s="3"/>
      <c r="AF58" s="21"/>
    </row>
    <row r="59" spans="1:32" x14ac:dyDescent="0.3">
      <c r="A59" s="3" t="s">
        <v>850</v>
      </c>
      <c r="B59" s="3" t="s">
        <v>851</v>
      </c>
      <c r="C59" s="3" t="s">
        <v>664</v>
      </c>
      <c r="D59" s="3">
        <v>6.25E-2</v>
      </c>
      <c r="E59" s="3" t="s">
        <v>570</v>
      </c>
      <c r="F59" s="3">
        <v>200</v>
      </c>
      <c r="G59" s="3">
        <v>1</v>
      </c>
      <c r="H59" s="3" t="s">
        <v>130</v>
      </c>
      <c r="I59" s="3" t="s">
        <v>571</v>
      </c>
      <c r="J59" s="3" t="s">
        <v>761</v>
      </c>
      <c r="K59" s="3" t="s">
        <v>123</v>
      </c>
      <c r="L59" s="19" t="s">
        <v>573</v>
      </c>
      <c r="M59" s="3" t="s">
        <v>852</v>
      </c>
      <c r="N59" s="3" t="s">
        <v>853</v>
      </c>
      <c r="P59" s="20" t="s">
        <v>127</v>
      </c>
      <c r="Q59" s="3"/>
      <c r="R59" s="3"/>
      <c r="T59" s="3"/>
      <c r="U59" s="3"/>
      <c r="V59" s="19"/>
      <c r="X59" s="3"/>
      <c r="Y59" s="3"/>
      <c r="Z59" s="20"/>
      <c r="AB59" s="3"/>
      <c r="AC59" s="3"/>
      <c r="AD59" s="3"/>
      <c r="AE59" s="3"/>
      <c r="AF59" s="21"/>
    </row>
    <row r="60" spans="1:32" x14ac:dyDescent="0.3">
      <c r="A60" s="3" t="s">
        <v>854</v>
      </c>
      <c r="B60" s="3" t="s">
        <v>855</v>
      </c>
      <c r="C60" s="3" t="s">
        <v>669</v>
      </c>
      <c r="D60" s="3">
        <v>6.25E-2</v>
      </c>
      <c r="E60" s="3" t="s">
        <v>570</v>
      </c>
      <c r="F60" s="3">
        <v>200</v>
      </c>
      <c r="G60" s="3">
        <v>1</v>
      </c>
      <c r="H60" s="3" t="s">
        <v>130</v>
      </c>
      <c r="I60" s="3" t="s">
        <v>571</v>
      </c>
      <c r="J60" s="3" t="s">
        <v>761</v>
      </c>
      <c r="K60" s="3" t="s">
        <v>123</v>
      </c>
      <c r="L60" s="19" t="s">
        <v>573</v>
      </c>
      <c r="M60" s="3" t="s">
        <v>856</v>
      </c>
      <c r="N60" s="3" t="s">
        <v>857</v>
      </c>
      <c r="P60" s="20" t="s">
        <v>127</v>
      </c>
      <c r="Q60" s="3"/>
      <c r="R60" s="3"/>
      <c r="T60" s="3"/>
      <c r="U60" s="3"/>
      <c r="V60" s="19"/>
      <c r="X60" s="3"/>
      <c r="Y60" s="3"/>
      <c r="Z60" s="20"/>
      <c r="AB60" s="3"/>
      <c r="AC60" s="3"/>
      <c r="AD60" s="3"/>
      <c r="AE60" s="3"/>
      <c r="AF60" s="21"/>
    </row>
    <row r="61" spans="1:32" x14ac:dyDescent="0.3">
      <c r="A61" s="3" t="s">
        <v>858</v>
      </c>
      <c r="B61" s="3" t="s">
        <v>859</v>
      </c>
      <c r="C61" s="3" t="s">
        <v>674</v>
      </c>
      <c r="D61" s="3">
        <v>6.25E-2</v>
      </c>
      <c r="E61" s="3" t="s">
        <v>570</v>
      </c>
      <c r="F61" s="3">
        <v>200</v>
      </c>
      <c r="G61" s="3">
        <v>1</v>
      </c>
      <c r="H61" s="3" t="s">
        <v>130</v>
      </c>
      <c r="I61" s="3" t="s">
        <v>571</v>
      </c>
      <c r="J61" s="3" t="s">
        <v>761</v>
      </c>
      <c r="K61" s="3" t="s">
        <v>123</v>
      </c>
      <c r="L61" s="19" t="s">
        <v>573</v>
      </c>
      <c r="M61" s="3" t="s">
        <v>860</v>
      </c>
      <c r="N61" s="3" t="s">
        <v>861</v>
      </c>
      <c r="P61" s="20" t="s">
        <v>127</v>
      </c>
      <c r="Q61" s="3"/>
      <c r="R61" s="3"/>
      <c r="T61" s="3"/>
      <c r="U61" s="3"/>
      <c r="V61" s="19"/>
      <c r="X61" s="3"/>
      <c r="Y61" s="3"/>
      <c r="Z61" s="20"/>
      <c r="AB61" s="3"/>
      <c r="AC61" s="3"/>
      <c r="AD61" s="3"/>
      <c r="AE61" s="3"/>
      <c r="AF61" s="21"/>
    </row>
    <row r="62" spans="1:32" x14ac:dyDescent="0.3">
      <c r="A62" s="3" t="s">
        <v>862</v>
      </c>
      <c r="B62" s="3" t="s">
        <v>863</v>
      </c>
      <c r="C62" s="3" t="s">
        <v>679</v>
      </c>
      <c r="D62" s="3">
        <v>6.25E-2</v>
      </c>
      <c r="E62" s="3" t="s">
        <v>570</v>
      </c>
      <c r="F62" s="3">
        <v>200</v>
      </c>
      <c r="G62" s="3">
        <v>1</v>
      </c>
      <c r="H62" s="3" t="s">
        <v>130</v>
      </c>
      <c r="I62" s="3" t="s">
        <v>571</v>
      </c>
      <c r="J62" s="3" t="s">
        <v>761</v>
      </c>
      <c r="K62" s="3" t="s">
        <v>123</v>
      </c>
      <c r="L62" s="19" t="s">
        <v>573</v>
      </c>
      <c r="M62" s="3" t="s">
        <v>864</v>
      </c>
      <c r="N62" s="3" t="s">
        <v>865</v>
      </c>
      <c r="P62" s="20" t="s">
        <v>127</v>
      </c>
      <c r="Q62" s="3"/>
      <c r="R62" s="3"/>
      <c r="T62" s="3"/>
      <c r="U62" s="3"/>
      <c r="V62" s="19"/>
      <c r="X62" s="3"/>
      <c r="Y62" s="3"/>
      <c r="Z62" s="20"/>
      <c r="AB62" s="3"/>
      <c r="AC62" s="3"/>
      <c r="AD62" s="3"/>
      <c r="AE62" s="3"/>
      <c r="AF62" s="21"/>
    </row>
    <row r="63" spans="1:32" x14ac:dyDescent="0.3">
      <c r="A63" s="3" t="s">
        <v>866</v>
      </c>
      <c r="B63" s="3" t="s">
        <v>867</v>
      </c>
      <c r="C63" s="3" t="s">
        <v>868</v>
      </c>
      <c r="D63" s="3">
        <v>6.25E-2</v>
      </c>
      <c r="E63" s="3" t="s">
        <v>570</v>
      </c>
      <c r="F63" s="3">
        <v>200</v>
      </c>
      <c r="G63" s="3">
        <v>1</v>
      </c>
      <c r="H63" s="3" t="s">
        <v>130</v>
      </c>
      <c r="I63" s="3" t="s">
        <v>571</v>
      </c>
      <c r="J63" s="3" t="s">
        <v>761</v>
      </c>
      <c r="K63" s="3" t="s">
        <v>123</v>
      </c>
      <c r="L63" s="19" t="s">
        <v>573</v>
      </c>
      <c r="M63" s="3" t="s">
        <v>869</v>
      </c>
      <c r="N63" s="3" t="s">
        <v>870</v>
      </c>
      <c r="P63" s="20" t="s">
        <v>127</v>
      </c>
      <c r="Q63" s="3"/>
      <c r="R63" s="3"/>
      <c r="T63" s="3"/>
      <c r="U63" s="3"/>
      <c r="V63" s="19"/>
      <c r="X63" s="3"/>
      <c r="Y63" s="3"/>
      <c r="Z63" s="20"/>
      <c r="AB63" s="3"/>
      <c r="AC63" s="3"/>
      <c r="AD63" s="3"/>
      <c r="AE63" s="3"/>
      <c r="AF63" s="21"/>
    </row>
    <row r="64" spans="1:32" x14ac:dyDescent="0.3">
      <c r="A64" s="3" t="s">
        <v>871</v>
      </c>
      <c r="B64" s="3" t="s">
        <v>872</v>
      </c>
      <c r="C64" s="3" t="s">
        <v>873</v>
      </c>
      <c r="D64" s="3">
        <v>6.25E-2</v>
      </c>
      <c r="E64" s="3" t="s">
        <v>570</v>
      </c>
      <c r="F64" s="3">
        <v>200</v>
      </c>
      <c r="G64" s="3">
        <v>1</v>
      </c>
      <c r="H64" s="3" t="s">
        <v>130</v>
      </c>
      <c r="I64" s="3" t="s">
        <v>571</v>
      </c>
      <c r="J64" s="3" t="s">
        <v>761</v>
      </c>
      <c r="K64" s="3" t="s">
        <v>123</v>
      </c>
      <c r="L64" s="19" t="s">
        <v>573</v>
      </c>
      <c r="M64" s="3" t="s">
        <v>874</v>
      </c>
      <c r="N64" s="3" t="s">
        <v>875</v>
      </c>
      <c r="P64" s="20" t="s">
        <v>127</v>
      </c>
      <c r="Q64" s="3"/>
      <c r="R64" s="3"/>
      <c r="T64" s="3"/>
      <c r="U64" s="3"/>
      <c r="V64" s="19"/>
      <c r="X64" s="3"/>
      <c r="Y64" s="3"/>
      <c r="Z64" s="20"/>
      <c r="AB64" s="3"/>
      <c r="AC64" s="3"/>
      <c r="AD64" s="3"/>
      <c r="AE64" s="3"/>
      <c r="AF64" s="21"/>
    </row>
    <row r="65" spans="1:32" x14ac:dyDescent="0.3">
      <c r="A65" s="3" t="s">
        <v>876</v>
      </c>
      <c r="B65" s="3" t="s">
        <v>877</v>
      </c>
      <c r="C65" s="3" t="s">
        <v>878</v>
      </c>
      <c r="D65" s="3">
        <v>6.25E-2</v>
      </c>
      <c r="E65" s="3" t="s">
        <v>570</v>
      </c>
      <c r="F65" s="3">
        <v>200</v>
      </c>
      <c r="G65" s="3">
        <v>1</v>
      </c>
      <c r="H65" s="3" t="s">
        <v>130</v>
      </c>
      <c r="I65" s="3" t="s">
        <v>571</v>
      </c>
      <c r="J65" s="3" t="s">
        <v>761</v>
      </c>
      <c r="K65" s="3" t="s">
        <v>123</v>
      </c>
      <c r="L65" s="19" t="s">
        <v>573</v>
      </c>
      <c r="M65" s="3" t="s">
        <v>879</v>
      </c>
      <c r="N65" s="3" t="s">
        <v>880</v>
      </c>
      <c r="P65" s="20" t="s">
        <v>127</v>
      </c>
      <c r="Q65" s="3"/>
      <c r="R65" s="3"/>
      <c r="T65" s="3"/>
      <c r="U65" s="3"/>
      <c r="V65" s="19"/>
      <c r="X65" s="3"/>
      <c r="Y65" s="3"/>
      <c r="Z65" s="20"/>
      <c r="AB65" s="3"/>
      <c r="AC65" s="3"/>
      <c r="AD65" s="3"/>
      <c r="AE65" s="3"/>
      <c r="AF65" s="21"/>
    </row>
    <row r="66" spans="1:32" x14ac:dyDescent="0.3">
      <c r="A66" s="3" t="s">
        <v>881</v>
      </c>
      <c r="B66" s="3" t="s">
        <v>882</v>
      </c>
      <c r="C66" s="3" t="s">
        <v>699</v>
      </c>
      <c r="D66" s="3">
        <v>6.25E-2</v>
      </c>
      <c r="E66" s="3" t="s">
        <v>570</v>
      </c>
      <c r="F66" s="3">
        <v>200</v>
      </c>
      <c r="G66" s="3">
        <v>1</v>
      </c>
      <c r="H66" s="3" t="s">
        <v>130</v>
      </c>
      <c r="I66" s="3" t="s">
        <v>571</v>
      </c>
      <c r="J66" s="3" t="s">
        <v>761</v>
      </c>
      <c r="K66" s="3" t="s">
        <v>123</v>
      </c>
      <c r="L66" s="19" t="s">
        <v>573</v>
      </c>
      <c r="M66" s="3" t="s">
        <v>883</v>
      </c>
      <c r="N66" s="3" t="s">
        <v>884</v>
      </c>
      <c r="P66" s="20" t="s">
        <v>127</v>
      </c>
      <c r="Q66" s="3"/>
      <c r="R66" s="3"/>
      <c r="T66" s="3"/>
      <c r="U66" s="3"/>
      <c r="V66" s="19"/>
      <c r="X66" s="3"/>
      <c r="Y66" s="3"/>
      <c r="Z66" s="20"/>
      <c r="AB66" s="3"/>
      <c r="AC66" s="3"/>
      <c r="AD66" s="3"/>
      <c r="AE66" s="3"/>
      <c r="AF66" s="21"/>
    </row>
    <row r="67" spans="1:32" x14ac:dyDescent="0.3">
      <c r="A67" s="3" t="s">
        <v>885</v>
      </c>
      <c r="B67" s="3" t="s">
        <v>886</v>
      </c>
      <c r="C67" s="3" t="s">
        <v>704</v>
      </c>
      <c r="D67" s="3">
        <v>6.25E-2</v>
      </c>
      <c r="E67" s="3" t="s">
        <v>570</v>
      </c>
      <c r="F67" s="3">
        <v>200</v>
      </c>
      <c r="G67" s="3">
        <v>1</v>
      </c>
      <c r="H67" s="3" t="s">
        <v>130</v>
      </c>
      <c r="I67" s="3" t="s">
        <v>571</v>
      </c>
      <c r="J67" s="3" t="s">
        <v>761</v>
      </c>
      <c r="K67" s="3" t="s">
        <v>123</v>
      </c>
      <c r="L67" s="19" t="s">
        <v>573</v>
      </c>
      <c r="M67" s="3" t="s">
        <v>887</v>
      </c>
      <c r="N67" s="3" t="s">
        <v>888</v>
      </c>
      <c r="P67" s="20" t="s">
        <v>127</v>
      </c>
      <c r="Q67" s="3"/>
      <c r="R67" s="3"/>
      <c r="T67" s="3"/>
      <c r="U67" s="3"/>
      <c r="V67" s="19"/>
      <c r="X67" s="3"/>
      <c r="Y67" s="3"/>
      <c r="Z67" s="20"/>
      <c r="AB67" s="3"/>
      <c r="AC67" s="3"/>
      <c r="AD67" s="3"/>
      <c r="AE67" s="3"/>
      <c r="AF67" s="21"/>
    </row>
    <row r="68" spans="1:32" x14ac:dyDescent="0.3">
      <c r="A68" s="3" t="s">
        <v>889</v>
      </c>
      <c r="B68" s="3" t="s">
        <v>890</v>
      </c>
      <c r="C68" s="3" t="s">
        <v>891</v>
      </c>
      <c r="D68" s="3">
        <v>6.25E-2</v>
      </c>
      <c r="E68" s="3" t="s">
        <v>570</v>
      </c>
      <c r="F68" s="3">
        <v>200</v>
      </c>
      <c r="G68" s="3">
        <v>1</v>
      </c>
      <c r="H68" s="3" t="s">
        <v>130</v>
      </c>
      <c r="I68" s="3" t="s">
        <v>571</v>
      </c>
      <c r="J68" s="3" t="s">
        <v>761</v>
      </c>
      <c r="K68" s="3" t="s">
        <v>123</v>
      </c>
      <c r="L68" s="19" t="s">
        <v>573</v>
      </c>
      <c r="M68" s="3" t="s">
        <v>892</v>
      </c>
      <c r="N68" s="3" t="s">
        <v>893</v>
      </c>
      <c r="P68" s="20" t="s">
        <v>127</v>
      </c>
      <c r="Q68" s="3"/>
      <c r="R68" s="3"/>
      <c r="T68" s="3"/>
      <c r="U68" s="3"/>
      <c r="V68" s="19"/>
      <c r="X68" s="3"/>
      <c r="Y68" s="3"/>
      <c r="Z68" s="20"/>
      <c r="AB68" s="3"/>
      <c r="AC68" s="3"/>
      <c r="AD68" s="3"/>
      <c r="AE68" s="3"/>
      <c r="AF68" s="21"/>
    </row>
    <row r="69" spans="1:32" x14ac:dyDescent="0.3">
      <c r="A69" s="3" t="s">
        <v>894</v>
      </c>
      <c r="B69" s="3" t="s">
        <v>895</v>
      </c>
      <c r="C69" s="3" t="s">
        <v>714</v>
      </c>
      <c r="D69" s="3">
        <v>6.25E-2</v>
      </c>
      <c r="E69" s="3" t="s">
        <v>570</v>
      </c>
      <c r="F69" s="3">
        <v>200</v>
      </c>
      <c r="G69" s="3">
        <v>1</v>
      </c>
      <c r="H69" s="3" t="s">
        <v>130</v>
      </c>
      <c r="I69" s="3" t="s">
        <v>571</v>
      </c>
      <c r="J69" s="3" t="s">
        <v>761</v>
      </c>
      <c r="K69" s="3" t="s">
        <v>123</v>
      </c>
      <c r="L69" s="19" t="s">
        <v>573</v>
      </c>
      <c r="M69" s="3" t="s">
        <v>896</v>
      </c>
      <c r="N69" s="3" t="s">
        <v>897</v>
      </c>
      <c r="P69" s="20" t="s">
        <v>127</v>
      </c>
      <c r="Q69" s="3"/>
      <c r="R69" s="3"/>
      <c r="T69" s="3"/>
      <c r="U69" s="3"/>
      <c r="V69" s="19"/>
      <c r="X69" s="3"/>
      <c r="Y69" s="3"/>
      <c r="Z69" s="20"/>
      <c r="AB69" s="3"/>
      <c r="AC69" s="3"/>
      <c r="AD69" s="3"/>
      <c r="AE69" s="3"/>
      <c r="AF69" s="21"/>
    </row>
    <row r="70" spans="1:32" x14ac:dyDescent="0.3">
      <c r="A70" s="3" t="s">
        <v>898</v>
      </c>
      <c r="B70" s="3" t="s">
        <v>899</v>
      </c>
      <c r="C70" s="3" t="s">
        <v>900</v>
      </c>
      <c r="D70" s="3">
        <v>6.25E-2</v>
      </c>
      <c r="E70" s="3" t="s">
        <v>570</v>
      </c>
      <c r="F70" s="3">
        <v>200</v>
      </c>
      <c r="G70" s="3">
        <v>1</v>
      </c>
      <c r="H70" s="3" t="s">
        <v>130</v>
      </c>
      <c r="I70" s="3" t="s">
        <v>571</v>
      </c>
      <c r="J70" s="3" t="s">
        <v>761</v>
      </c>
      <c r="K70" s="3" t="s">
        <v>123</v>
      </c>
      <c r="L70" s="19" t="s">
        <v>573</v>
      </c>
      <c r="M70" s="3" t="s">
        <v>901</v>
      </c>
      <c r="N70" s="3" t="s">
        <v>902</v>
      </c>
      <c r="P70" s="20" t="s">
        <v>127</v>
      </c>
      <c r="Q70" s="3"/>
      <c r="R70" s="3"/>
      <c r="T70" s="3"/>
      <c r="U70" s="3"/>
      <c r="V70" s="19"/>
      <c r="X70" s="3"/>
      <c r="Y70" s="3"/>
      <c r="Z70" s="20"/>
      <c r="AB70" s="3"/>
      <c r="AC70" s="3"/>
      <c r="AD70" s="3"/>
      <c r="AE70" s="3"/>
      <c r="AF70" s="21"/>
    </row>
    <row r="71" spans="1:32" x14ac:dyDescent="0.3">
      <c r="A71" s="3" t="s">
        <v>903</v>
      </c>
      <c r="B71" s="3" t="s">
        <v>904</v>
      </c>
      <c r="C71" s="3" t="s">
        <v>905</v>
      </c>
      <c r="D71" s="3">
        <v>6.25E-2</v>
      </c>
      <c r="E71" s="3" t="s">
        <v>570</v>
      </c>
      <c r="F71" s="3">
        <v>200</v>
      </c>
      <c r="G71" s="3">
        <v>1</v>
      </c>
      <c r="H71" s="3" t="s">
        <v>130</v>
      </c>
      <c r="I71" s="3" t="s">
        <v>571</v>
      </c>
      <c r="J71" s="3" t="s">
        <v>761</v>
      </c>
      <c r="K71" s="3" t="s">
        <v>123</v>
      </c>
      <c r="L71" s="19" t="s">
        <v>573</v>
      </c>
      <c r="M71" s="3" t="s">
        <v>906</v>
      </c>
      <c r="N71" s="3" t="s">
        <v>907</v>
      </c>
      <c r="P71" s="20" t="s">
        <v>127</v>
      </c>
      <c r="Q71" s="3"/>
      <c r="R71" s="3"/>
      <c r="T71" s="3"/>
      <c r="U71" s="3"/>
      <c r="V71" s="19"/>
      <c r="X71" s="3"/>
      <c r="Y71" s="3"/>
      <c r="Z71" s="20"/>
      <c r="AB71" s="3"/>
      <c r="AC71" s="3"/>
      <c r="AD71" s="3"/>
      <c r="AE71" s="3"/>
      <c r="AF71" s="21"/>
    </row>
    <row r="72" spans="1:32" x14ac:dyDescent="0.3">
      <c r="A72" s="3" t="s">
        <v>908</v>
      </c>
      <c r="B72" s="3" t="s">
        <v>909</v>
      </c>
      <c r="C72" s="3" t="s">
        <v>589</v>
      </c>
      <c r="D72" s="3">
        <v>0.1</v>
      </c>
      <c r="E72" s="3" t="s">
        <v>910</v>
      </c>
      <c r="F72" s="3">
        <v>999</v>
      </c>
      <c r="G72" s="3">
        <v>0</v>
      </c>
      <c r="H72" s="3" t="s">
        <v>123</v>
      </c>
      <c r="I72" s="3" t="s">
        <v>911</v>
      </c>
      <c r="J72" s="3" t="s">
        <v>912</v>
      </c>
      <c r="K72" s="3" t="s">
        <v>123</v>
      </c>
      <c r="L72" s="19" t="s">
        <v>913</v>
      </c>
      <c r="M72" s="3" t="s">
        <v>914</v>
      </c>
      <c r="N72" s="3" t="s">
        <v>227</v>
      </c>
      <c r="P72" s="20" t="s">
        <v>127</v>
      </c>
      <c r="Q72" s="3"/>
      <c r="R72" s="3"/>
      <c r="T72" s="3"/>
      <c r="U72" s="3"/>
      <c r="V72" s="19"/>
      <c r="X72" s="3"/>
      <c r="Y72" s="3"/>
      <c r="Z72" s="20"/>
      <c r="AB72" s="3"/>
      <c r="AC72" s="3"/>
      <c r="AD72" s="3"/>
      <c r="AE72" s="3"/>
      <c r="AF72" s="21" t="s">
        <v>915</v>
      </c>
    </row>
    <row r="73" spans="1:32" x14ac:dyDescent="0.3">
      <c r="A73" s="3" t="s">
        <v>916</v>
      </c>
      <c r="B73" s="3" t="s">
        <v>917</v>
      </c>
      <c r="C73" s="3" t="s">
        <v>918</v>
      </c>
      <c r="D73" s="3">
        <v>0.125</v>
      </c>
      <c r="E73" s="3" t="s">
        <v>570</v>
      </c>
      <c r="F73" s="3">
        <v>200</v>
      </c>
      <c r="G73" s="3">
        <v>1</v>
      </c>
      <c r="H73" s="3" t="s">
        <v>204</v>
      </c>
      <c r="I73" s="3" t="s">
        <v>571</v>
      </c>
      <c r="J73" s="3" t="s">
        <v>919</v>
      </c>
      <c r="K73" s="3" t="s">
        <v>123</v>
      </c>
      <c r="L73" s="19" t="s">
        <v>920</v>
      </c>
      <c r="M73" s="3" t="s">
        <v>921</v>
      </c>
      <c r="N73" s="3" t="s">
        <v>922</v>
      </c>
      <c r="P73" s="20" t="s">
        <v>127</v>
      </c>
      <c r="Q73" s="3" t="s">
        <v>573</v>
      </c>
      <c r="R73" s="3" t="s">
        <v>923</v>
      </c>
      <c r="T73" s="3" t="s">
        <v>924</v>
      </c>
      <c r="U73" s="3"/>
      <c r="V73" s="19"/>
      <c r="X73" s="3"/>
      <c r="Y73" s="3"/>
      <c r="Z73" s="20"/>
      <c r="AB73" s="3"/>
      <c r="AC73" s="3"/>
      <c r="AD73" s="3"/>
      <c r="AE73" s="3"/>
      <c r="AF73" s="21" t="s">
        <v>925</v>
      </c>
    </row>
    <row r="74" spans="1:32" x14ac:dyDescent="0.3">
      <c r="A74" s="3" t="s">
        <v>926</v>
      </c>
      <c r="B74" s="3" t="s">
        <v>927</v>
      </c>
      <c r="C74" s="3" t="s">
        <v>928</v>
      </c>
      <c r="D74" s="3">
        <v>0.125</v>
      </c>
      <c r="E74" s="3" t="s">
        <v>570</v>
      </c>
      <c r="F74" s="3">
        <v>200</v>
      </c>
      <c r="G74" s="3">
        <v>1</v>
      </c>
      <c r="H74" s="3" t="s">
        <v>204</v>
      </c>
      <c r="I74" s="3" t="s">
        <v>571</v>
      </c>
      <c r="J74" s="3" t="s">
        <v>919</v>
      </c>
      <c r="K74" s="3" t="s">
        <v>123</v>
      </c>
      <c r="L74" s="19" t="s">
        <v>847</v>
      </c>
      <c r="M74" s="3" t="s">
        <v>929</v>
      </c>
      <c r="N74" s="3" t="s">
        <v>930</v>
      </c>
      <c r="P74" s="20" t="s">
        <v>127</v>
      </c>
      <c r="Q74" s="3"/>
      <c r="R74" s="3"/>
      <c r="T74" s="3"/>
      <c r="U74" s="3"/>
      <c r="V74" s="19"/>
      <c r="X74" s="3"/>
      <c r="Y74" s="3"/>
      <c r="Z74" s="20"/>
      <c r="AB74" s="3"/>
      <c r="AC74" s="3"/>
      <c r="AD74" s="3"/>
      <c r="AE74" s="3"/>
      <c r="AF74" s="21"/>
    </row>
    <row r="75" spans="1:32" x14ac:dyDescent="0.3">
      <c r="A75" s="3" t="s">
        <v>931</v>
      </c>
      <c r="B75" s="3" t="s">
        <v>932</v>
      </c>
      <c r="C75" s="3" t="s">
        <v>933</v>
      </c>
      <c r="D75" s="3">
        <v>0.25</v>
      </c>
      <c r="E75" s="3" t="s">
        <v>570</v>
      </c>
      <c r="F75" s="3">
        <v>800</v>
      </c>
      <c r="G75" s="3">
        <v>1</v>
      </c>
      <c r="H75" s="3" t="s">
        <v>934</v>
      </c>
      <c r="I75" s="3" t="s">
        <v>571</v>
      </c>
      <c r="J75" s="3" t="s">
        <v>935</v>
      </c>
      <c r="K75" s="3" t="s">
        <v>123</v>
      </c>
      <c r="L75" s="19" t="s">
        <v>573</v>
      </c>
      <c r="M75" s="3" t="s">
        <v>936</v>
      </c>
      <c r="N75" s="3" t="s">
        <v>937</v>
      </c>
      <c r="P75" s="20" t="s">
        <v>127</v>
      </c>
      <c r="Q75" s="3"/>
      <c r="R75" s="3"/>
      <c r="T75" s="3"/>
      <c r="U75" s="3"/>
      <c r="V75" s="19"/>
      <c r="X75" s="3"/>
      <c r="Y75" s="3"/>
      <c r="Z75" s="20"/>
      <c r="AB75" s="3"/>
      <c r="AC75" s="3"/>
      <c r="AD75" s="3"/>
      <c r="AE75" s="3"/>
      <c r="AF75" s="21"/>
    </row>
    <row r="76" spans="1:32" x14ac:dyDescent="0.3">
      <c r="A76" s="3" t="s">
        <v>938</v>
      </c>
      <c r="B76" s="3" t="s">
        <v>939</v>
      </c>
      <c r="C76" s="3" t="s">
        <v>940</v>
      </c>
      <c r="D76" s="3">
        <v>0.1</v>
      </c>
      <c r="E76" s="3" t="s">
        <v>570</v>
      </c>
      <c r="F76" s="3">
        <v>100</v>
      </c>
      <c r="G76" s="3">
        <v>1</v>
      </c>
      <c r="H76" s="3" t="s">
        <v>120</v>
      </c>
      <c r="I76" s="3" t="s">
        <v>571</v>
      </c>
      <c r="J76" s="3" t="s">
        <v>572</v>
      </c>
      <c r="K76" s="3" t="s">
        <v>123</v>
      </c>
      <c r="L76" s="19" t="s">
        <v>573</v>
      </c>
      <c r="M76" s="3" t="s">
        <v>941</v>
      </c>
      <c r="N76" s="3" t="s">
        <v>942</v>
      </c>
      <c r="P76" s="20" t="s">
        <v>127</v>
      </c>
      <c r="Q76" s="3" t="s">
        <v>847</v>
      </c>
      <c r="R76" s="3" t="s">
        <v>943</v>
      </c>
      <c r="T76" s="3" t="s">
        <v>944</v>
      </c>
      <c r="U76" s="3"/>
      <c r="V76" s="19"/>
      <c r="X76" s="3"/>
      <c r="Y76" s="3"/>
      <c r="Z76" s="20"/>
      <c r="AB76" s="3"/>
      <c r="AC76" s="3"/>
      <c r="AD76" s="3"/>
      <c r="AE76" s="3"/>
      <c r="AF76" s="21"/>
    </row>
    <row r="77" spans="1:32" x14ac:dyDescent="0.3">
      <c r="A77" s="3" t="s">
        <v>945</v>
      </c>
      <c r="B77" s="3" t="s">
        <v>946</v>
      </c>
      <c r="C77" s="3" t="s">
        <v>947</v>
      </c>
      <c r="D77" s="3">
        <v>0.1</v>
      </c>
      <c r="E77" s="3" t="s">
        <v>570</v>
      </c>
      <c r="F77" s="3">
        <v>100</v>
      </c>
      <c r="G77" s="3">
        <v>1</v>
      </c>
      <c r="H77" s="3" t="s">
        <v>120</v>
      </c>
      <c r="I77" s="3" t="s">
        <v>571</v>
      </c>
      <c r="J77" s="3" t="s">
        <v>572</v>
      </c>
      <c r="K77" s="3" t="s">
        <v>123</v>
      </c>
      <c r="L77" s="19" t="s">
        <v>573</v>
      </c>
      <c r="M77" s="3" t="s">
        <v>948</v>
      </c>
      <c r="N77" s="3" t="s">
        <v>949</v>
      </c>
      <c r="P77" s="20" t="s">
        <v>127</v>
      </c>
      <c r="Q77" s="3"/>
      <c r="R77" s="3"/>
      <c r="T77" s="3"/>
      <c r="U77" s="3"/>
      <c r="V77" s="19"/>
      <c r="X77" s="3"/>
      <c r="Y77" s="3"/>
      <c r="Z77" s="20"/>
      <c r="AB77" s="3"/>
      <c r="AC77" s="3"/>
      <c r="AD77" s="3"/>
      <c r="AE77" s="3"/>
      <c r="AF77" s="21"/>
    </row>
    <row r="78" spans="1:32" x14ac:dyDescent="0.3">
      <c r="A78" s="3" t="s">
        <v>950</v>
      </c>
      <c r="B78" s="3" t="s">
        <v>951</v>
      </c>
      <c r="C78" s="3" t="s">
        <v>878</v>
      </c>
      <c r="D78" s="3">
        <v>0.1</v>
      </c>
      <c r="E78" s="3" t="s">
        <v>570</v>
      </c>
      <c r="F78" s="3">
        <v>100</v>
      </c>
      <c r="G78" s="3">
        <v>1</v>
      </c>
      <c r="H78" s="3" t="s">
        <v>120</v>
      </c>
      <c r="I78" s="3" t="s">
        <v>571</v>
      </c>
      <c r="J78" s="3" t="s">
        <v>572</v>
      </c>
      <c r="K78" s="3" t="s">
        <v>123</v>
      </c>
      <c r="L78" s="19" t="s">
        <v>573</v>
      </c>
      <c r="M78" s="3" t="s">
        <v>952</v>
      </c>
      <c r="N78" s="3" t="s">
        <v>953</v>
      </c>
      <c r="P78" s="20" t="s">
        <v>127</v>
      </c>
      <c r="Q78" s="3" t="s">
        <v>847</v>
      </c>
      <c r="R78" s="3" t="s">
        <v>954</v>
      </c>
      <c r="T78" s="3" t="s">
        <v>955</v>
      </c>
      <c r="U78" s="3"/>
      <c r="V78" s="19"/>
      <c r="X78" s="3"/>
      <c r="Y78" s="3"/>
      <c r="Z78" s="20"/>
      <c r="AB78" s="3"/>
      <c r="AC78" s="3"/>
      <c r="AD78" s="3"/>
      <c r="AE78" s="3"/>
      <c r="AF78" s="21"/>
    </row>
    <row r="79" spans="1:32" x14ac:dyDescent="0.3">
      <c r="A79" s="3" t="s">
        <v>956</v>
      </c>
      <c r="B79" s="3" t="s">
        <v>720</v>
      </c>
      <c r="C79" s="3" t="s">
        <v>721</v>
      </c>
      <c r="D79" s="3">
        <v>0.1</v>
      </c>
      <c r="E79" s="3" t="s">
        <v>570</v>
      </c>
      <c r="F79" s="3">
        <v>100</v>
      </c>
      <c r="G79" s="3">
        <v>1</v>
      </c>
      <c r="H79" s="3" t="s">
        <v>120</v>
      </c>
      <c r="I79" s="3" t="s">
        <v>571</v>
      </c>
      <c r="J79" s="3" t="s">
        <v>572</v>
      </c>
      <c r="K79" s="3" t="s">
        <v>123</v>
      </c>
      <c r="L79" s="19" t="s">
        <v>573</v>
      </c>
      <c r="M79" s="3" t="s">
        <v>722</v>
      </c>
      <c r="N79" s="3" t="s">
        <v>723</v>
      </c>
      <c r="P79" s="20" t="s">
        <v>127</v>
      </c>
      <c r="Q79" s="3" t="s">
        <v>847</v>
      </c>
      <c r="R79" s="3" t="s">
        <v>957</v>
      </c>
      <c r="T79" s="3" t="s">
        <v>958</v>
      </c>
      <c r="U79" s="3"/>
      <c r="V79" s="19"/>
      <c r="X79" s="3"/>
      <c r="Y79" s="3"/>
      <c r="Z79" s="20"/>
      <c r="AB79" s="3"/>
      <c r="AC79" s="3"/>
      <c r="AD79" s="3"/>
      <c r="AE79" s="3"/>
      <c r="AF79" s="21"/>
    </row>
    <row r="80" spans="1:32" x14ac:dyDescent="0.3">
      <c r="A80" s="3" t="s">
        <v>959</v>
      </c>
      <c r="B80" s="3" t="s">
        <v>960</v>
      </c>
      <c r="C80" s="3" t="s">
        <v>961</v>
      </c>
      <c r="D80" s="3">
        <v>0.1</v>
      </c>
      <c r="E80" s="3" t="s">
        <v>570</v>
      </c>
      <c r="F80" s="3">
        <v>100</v>
      </c>
      <c r="G80" s="3">
        <v>1</v>
      </c>
      <c r="H80" s="3" t="s">
        <v>120</v>
      </c>
      <c r="I80" s="3" t="s">
        <v>571</v>
      </c>
      <c r="J80" s="3" t="s">
        <v>572</v>
      </c>
      <c r="K80" s="3" t="s">
        <v>123</v>
      </c>
      <c r="L80" s="19" t="s">
        <v>573</v>
      </c>
      <c r="M80" s="3" t="s">
        <v>962</v>
      </c>
      <c r="N80" s="3" t="s">
        <v>963</v>
      </c>
      <c r="P80" s="20" t="s">
        <v>127</v>
      </c>
      <c r="Q80" s="3" t="s">
        <v>847</v>
      </c>
      <c r="R80" s="3" t="s">
        <v>964</v>
      </c>
      <c r="T80" s="3" t="s">
        <v>965</v>
      </c>
      <c r="U80" s="3"/>
      <c r="V80" s="19"/>
      <c r="X80" s="3"/>
      <c r="Y80" s="3"/>
      <c r="Z80" s="20"/>
      <c r="AB80" s="3"/>
      <c r="AC80" s="3"/>
      <c r="AD80" s="3"/>
      <c r="AE80" s="3"/>
      <c r="AF80" s="21"/>
    </row>
    <row r="81" spans="1:32" x14ac:dyDescent="0.3">
      <c r="A81" s="3" t="s">
        <v>966</v>
      </c>
      <c r="B81" s="3" t="s">
        <v>967</v>
      </c>
      <c r="C81" s="3" t="s">
        <v>968</v>
      </c>
      <c r="D81" s="3">
        <v>0.1</v>
      </c>
      <c r="E81" s="3" t="s">
        <v>570</v>
      </c>
      <c r="F81" s="3">
        <v>100</v>
      </c>
      <c r="G81" s="3">
        <v>1</v>
      </c>
      <c r="H81" s="3" t="s">
        <v>120</v>
      </c>
      <c r="I81" s="3" t="s">
        <v>571</v>
      </c>
      <c r="J81" s="3" t="s">
        <v>572</v>
      </c>
      <c r="K81" s="3" t="s">
        <v>123</v>
      </c>
      <c r="L81" s="19" t="s">
        <v>573</v>
      </c>
      <c r="M81" s="3" t="s">
        <v>969</v>
      </c>
      <c r="N81" s="3" t="s">
        <v>970</v>
      </c>
      <c r="P81" s="20" t="s">
        <v>127</v>
      </c>
      <c r="Q81" s="3"/>
      <c r="R81" s="3"/>
      <c r="T81" s="3"/>
      <c r="U81" s="3"/>
      <c r="V81" s="19"/>
      <c r="X81" s="3"/>
      <c r="Y81" s="3"/>
      <c r="Z81" s="20"/>
      <c r="AB81" s="3"/>
      <c r="AC81" s="3"/>
      <c r="AD81" s="3"/>
      <c r="AE81" s="3"/>
      <c r="AF81" s="21"/>
    </row>
    <row r="82" spans="1:32" x14ac:dyDescent="0.3">
      <c r="A82" s="3" t="s">
        <v>971</v>
      </c>
      <c r="B82" s="3" t="s">
        <v>229</v>
      </c>
      <c r="C82" s="3" t="s">
        <v>226</v>
      </c>
      <c r="D82" s="3" t="s">
        <v>123</v>
      </c>
      <c r="E82" s="3" t="s">
        <v>570</v>
      </c>
      <c r="F82" s="3" t="s">
        <v>123</v>
      </c>
      <c r="G82" s="3" t="s">
        <v>123</v>
      </c>
      <c r="H82" s="3" t="s">
        <v>120</v>
      </c>
      <c r="I82" s="3" t="s">
        <v>571</v>
      </c>
      <c r="J82" s="3" t="s">
        <v>572</v>
      </c>
      <c r="K82" s="3" t="s">
        <v>123</v>
      </c>
      <c r="L82" s="19" t="s">
        <v>123</v>
      </c>
      <c r="M82" s="3" t="s">
        <v>123</v>
      </c>
      <c r="N82" s="3" t="s">
        <v>123</v>
      </c>
      <c r="P82" s="20" t="s">
        <v>313</v>
      </c>
      <c r="Q82" s="3"/>
      <c r="R82" s="3"/>
      <c r="T82" s="3"/>
      <c r="U82" s="3"/>
      <c r="V82" s="19"/>
      <c r="X82" s="3"/>
      <c r="Y82" s="3"/>
      <c r="Z82" s="20"/>
      <c r="AB82" s="3"/>
      <c r="AC82" s="3"/>
      <c r="AD82" s="3"/>
      <c r="AE82" s="3"/>
      <c r="AF82" s="21"/>
    </row>
    <row r="83" spans="1:32" x14ac:dyDescent="0.3">
      <c r="A83" s="3" t="s">
        <v>972</v>
      </c>
      <c r="B83" s="3" t="s">
        <v>231</v>
      </c>
      <c r="C83" s="3" t="s">
        <v>226</v>
      </c>
      <c r="D83" s="3" t="s">
        <v>123</v>
      </c>
      <c r="E83" s="3" t="s">
        <v>570</v>
      </c>
      <c r="F83" s="3" t="s">
        <v>123</v>
      </c>
      <c r="G83" s="3" t="s">
        <v>123</v>
      </c>
      <c r="H83" s="3" t="s">
        <v>204</v>
      </c>
      <c r="I83" s="3" t="s">
        <v>571</v>
      </c>
      <c r="J83" s="3" t="s">
        <v>919</v>
      </c>
      <c r="K83" s="3" t="s">
        <v>123</v>
      </c>
      <c r="L83" s="19" t="s">
        <v>123</v>
      </c>
      <c r="M83" s="3" t="s">
        <v>123</v>
      </c>
      <c r="N83" s="3" t="s">
        <v>123</v>
      </c>
      <c r="P83" s="20" t="s">
        <v>313</v>
      </c>
      <c r="Q83" s="3"/>
      <c r="R83" s="3"/>
      <c r="T83" s="3"/>
      <c r="U83" s="3"/>
      <c r="V83" s="19"/>
      <c r="X83" s="3"/>
      <c r="Y83" s="3"/>
      <c r="Z83" s="20"/>
      <c r="AB83" s="3"/>
      <c r="AC83" s="3"/>
      <c r="AD83" s="3"/>
      <c r="AE83" s="3"/>
      <c r="AF83" s="21"/>
    </row>
    <row r="84" spans="1:32" x14ac:dyDescent="0.3">
      <c r="A84" s="3" t="s">
        <v>973</v>
      </c>
      <c r="B84" s="3" t="s">
        <v>225</v>
      </c>
      <c r="C84" s="3" t="s">
        <v>226</v>
      </c>
      <c r="D84" s="3" t="s">
        <v>123</v>
      </c>
      <c r="E84" s="3" t="s">
        <v>570</v>
      </c>
      <c r="F84" s="3" t="s">
        <v>123</v>
      </c>
      <c r="G84" s="3" t="s">
        <v>123</v>
      </c>
      <c r="H84" s="3" t="s">
        <v>130</v>
      </c>
      <c r="I84" s="3" t="s">
        <v>571</v>
      </c>
      <c r="J84" s="3" t="s">
        <v>761</v>
      </c>
      <c r="K84" s="3" t="s">
        <v>123</v>
      </c>
      <c r="L84" s="19" t="s">
        <v>123</v>
      </c>
      <c r="M84" s="3" t="s">
        <v>123</v>
      </c>
      <c r="N84" s="3" t="s">
        <v>123</v>
      </c>
      <c r="P84" s="20" t="s">
        <v>313</v>
      </c>
      <c r="Q84" s="3"/>
      <c r="R84" s="3"/>
      <c r="T84" s="3"/>
      <c r="U84" s="3"/>
      <c r="V84" s="19"/>
      <c r="X84" s="3"/>
      <c r="Y84" s="3"/>
      <c r="Z84" s="20"/>
      <c r="AB84" s="3"/>
      <c r="AC84" s="3"/>
      <c r="AD84" s="3"/>
      <c r="AE84" s="3"/>
      <c r="AF84" s="21"/>
    </row>
  </sheetData>
  <dataValidations count="5">
    <dataValidation type="list" allowBlank="1" sqref="H2:H1000" xr:uid="{00000000-0002-0000-0F00-000000000000}">
      <formula1>enum_package</formula1>
      <formula2>0</formula2>
    </dataValidation>
    <dataValidation type="list" allowBlank="1" sqref="E2:E1000" xr:uid="{00000000-0002-0000-0F00-000001000000}">
      <formula1>enum_res_techno</formula1>
      <formula2>0</formula2>
    </dataValidation>
    <dataValidation type="list" allowBlank="1" sqref="L2:L1000 Q2:Q1000 V2:V1000 AA2:AA1000" xr:uid="{00000000-0002-0000-0F00-000002000000}">
      <formula1>enum_mfn</formula1>
      <formula2>0</formula2>
    </dataValidation>
    <dataValidation type="list" allowBlank="1" sqref="P2:P1000 U2:U1000 Z2:Z1000 AE2:AE1000" xr:uid="{00000000-0002-0000-0F00-000003000000}">
      <formula1>enum_status</formula1>
      <formula2>0</formula2>
    </dataValidation>
    <dataValidation type="list" allowBlank="1" sqref="O2:O1000 T2:T1000 Y2:Y1000 AD2:AD1000" xr:uid="{00000000-0002-0000-0F00-000004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1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22" customWidth="1"/>
    <col min="3" max="3" width="13" customWidth="1"/>
    <col min="4" max="4" width="10" customWidth="1"/>
    <col min="5" max="5" width="19" customWidth="1"/>
    <col min="6" max="7" width="10" customWidth="1"/>
    <col min="8" max="8" width="12" customWidth="1"/>
    <col min="9" max="9" width="11" customWidth="1"/>
    <col min="10" max="10" width="15.77734375" style="8" customWidth="1"/>
    <col min="11" max="13" width="15.77734375" customWidth="1"/>
    <col min="14" max="14" width="15.77734375" style="9" customWidth="1"/>
    <col min="15" max="19" width="15.77734375" customWidth="1"/>
    <col min="20" max="20" width="15.77734375" style="8" customWidth="1"/>
    <col min="21" max="23" width="15.77734375" customWidth="1"/>
    <col min="24" max="24" width="15.77734375" style="9" customWidth="1"/>
    <col min="25" max="29" width="15.77734375" customWidth="1"/>
    <col min="30" max="30" width="15.77734375" style="10" customWidth="1"/>
  </cols>
  <sheetData>
    <row r="1" spans="1:30" ht="27.75" customHeight="1" x14ac:dyDescent="0.3">
      <c r="A1" s="11" t="s">
        <v>70</v>
      </c>
      <c r="B1" s="11" t="s">
        <v>286</v>
      </c>
      <c r="C1" s="11" t="s">
        <v>3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3" t="s">
        <v>78</v>
      </c>
      <c r="K1" s="14" t="s">
        <v>79</v>
      </c>
      <c r="L1" s="14" t="s">
        <v>80</v>
      </c>
      <c r="M1" s="14" t="s">
        <v>81</v>
      </c>
      <c r="N1" s="16" t="s">
        <v>82</v>
      </c>
      <c r="O1" s="14" t="s">
        <v>83</v>
      </c>
      <c r="P1" s="14" t="s">
        <v>84</v>
      </c>
      <c r="Q1" s="14" t="s">
        <v>85</v>
      </c>
      <c r="R1" s="14" t="s">
        <v>86</v>
      </c>
      <c r="S1" s="14" t="s">
        <v>87</v>
      </c>
      <c r="T1" s="13" t="s">
        <v>88</v>
      </c>
      <c r="U1" s="14" t="s">
        <v>89</v>
      </c>
      <c r="V1" s="14" t="s">
        <v>90</v>
      </c>
      <c r="W1" s="14" t="s">
        <v>91</v>
      </c>
      <c r="X1" s="16" t="s">
        <v>92</v>
      </c>
      <c r="Y1" s="14" t="s">
        <v>93</v>
      </c>
      <c r="Z1" s="14" t="s">
        <v>94</v>
      </c>
      <c r="AA1" s="14" t="s">
        <v>95</v>
      </c>
      <c r="AB1" s="14" t="s">
        <v>96</v>
      </c>
      <c r="AC1" s="14" t="s">
        <v>97</v>
      </c>
      <c r="AD1" s="17" t="s">
        <v>98</v>
      </c>
    </row>
  </sheetData>
  <dataValidations count="4">
    <dataValidation type="list" allowBlank="1" sqref="E2:E1000" xr:uid="{00000000-0002-0000-1000-000000000000}">
      <formula1>enum_package</formula1>
      <formula2>0</formula2>
    </dataValidation>
    <dataValidation type="list" allowBlank="1" sqref="J2:J1000 O2:O1000 T2:T1000 Y2:Y1000" xr:uid="{00000000-0002-0000-1000-000001000000}">
      <formula1>enum_mfn</formula1>
      <formula2>0</formula2>
    </dataValidation>
    <dataValidation type="list" allowBlank="1" sqref="N2:N1000 S2:S1000 X2:X1000 AC2:AC1000" xr:uid="{00000000-0002-0000-1000-000002000000}">
      <formula1>enum_status</formula1>
      <formula2>0</formula2>
    </dataValidation>
    <dataValidation type="list" allowBlank="1" sqref="M2:M1000 R2:R1000 W2:W1000 AB2:AB1000" xr:uid="{00000000-0002-0000-1000-000003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4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22" customWidth="1"/>
    <col min="3" max="3" width="25" customWidth="1"/>
    <col min="4" max="4" width="12" customWidth="1"/>
    <col min="5" max="5" width="19" customWidth="1"/>
    <col min="6" max="6" width="10" customWidth="1"/>
    <col min="7" max="8" width="20" customWidth="1"/>
    <col min="9" max="9" width="45" customWidth="1"/>
    <col min="10" max="10" width="15.77734375" style="8" customWidth="1"/>
    <col min="11" max="13" width="15.77734375" customWidth="1"/>
    <col min="14" max="14" width="15.77734375" style="9" customWidth="1"/>
    <col min="15" max="19" width="15.77734375" customWidth="1"/>
    <col min="20" max="20" width="15.77734375" style="8" customWidth="1"/>
    <col min="21" max="23" width="15.77734375" customWidth="1"/>
    <col min="24" max="24" width="15.77734375" style="9" customWidth="1"/>
    <col min="25" max="29" width="15.77734375" customWidth="1"/>
    <col min="30" max="30" width="53.6640625" style="10" customWidth="1"/>
  </cols>
  <sheetData>
    <row r="1" spans="1:30" ht="27.75" customHeight="1" x14ac:dyDescent="0.3">
      <c r="A1" s="11" t="s">
        <v>70</v>
      </c>
      <c r="B1" s="11" t="s">
        <v>286</v>
      </c>
      <c r="C1" s="11" t="s">
        <v>3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3" t="s">
        <v>78</v>
      </c>
      <c r="K1" s="14" t="s">
        <v>79</v>
      </c>
      <c r="L1" s="14" t="s">
        <v>80</v>
      </c>
      <c r="M1" s="14" t="s">
        <v>81</v>
      </c>
      <c r="N1" s="16" t="s">
        <v>82</v>
      </c>
      <c r="O1" s="14" t="s">
        <v>83</v>
      </c>
      <c r="P1" s="14" t="s">
        <v>84</v>
      </c>
      <c r="Q1" s="14" t="s">
        <v>85</v>
      </c>
      <c r="R1" s="14" t="s">
        <v>86</v>
      </c>
      <c r="S1" s="14" t="s">
        <v>87</v>
      </c>
      <c r="T1" s="13" t="s">
        <v>88</v>
      </c>
      <c r="U1" s="14" t="s">
        <v>89</v>
      </c>
      <c r="V1" s="14" t="s">
        <v>90</v>
      </c>
      <c r="W1" s="14" t="s">
        <v>91</v>
      </c>
      <c r="X1" s="16" t="s">
        <v>92</v>
      </c>
      <c r="Y1" s="14" t="s">
        <v>93</v>
      </c>
      <c r="Z1" s="14" t="s">
        <v>94</v>
      </c>
      <c r="AA1" s="14" t="s">
        <v>95</v>
      </c>
      <c r="AB1" s="14" t="s">
        <v>96</v>
      </c>
      <c r="AC1" s="14" t="s">
        <v>97</v>
      </c>
      <c r="AD1" s="17" t="s">
        <v>98</v>
      </c>
    </row>
    <row r="2" spans="1:30" x14ac:dyDescent="0.3">
      <c r="A2" s="3" t="s">
        <v>974</v>
      </c>
      <c r="B2" s="3"/>
      <c r="C2" s="3" t="s">
        <v>975</v>
      </c>
      <c r="D2" s="3" t="s">
        <v>976</v>
      </c>
      <c r="E2" s="3" t="s">
        <v>123</v>
      </c>
      <c r="F2" s="3"/>
      <c r="G2" s="3" t="s">
        <v>977</v>
      </c>
      <c r="H2" s="3" t="s">
        <v>978</v>
      </c>
      <c r="I2" s="3" t="s">
        <v>979</v>
      </c>
      <c r="J2" s="19" t="s">
        <v>980</v>
      </c>
      <c r="K2" s="3" t="s">
        <v>981</v>
      </c>
      <c r="L2" s="3" t="s">
        <v>982</v>
      </c>
      <c r="N2" s="20" t="s">
        <v>110</v>
      </c>
      <c r="O2" s="3"/>
      <c r="P2" s="3"/>
      <c r="R2" s="3"/>
      <c r="S2" s="3"/>
      <c r="T2" s="19"/>
      <c r="V2" s="3"/>
      <c r="W2" s="3"/>
      <c r="X2" s="20"/>
      <c r="Z2" s="3"/>
      <c r="AA2" s="3"/>
      <c r="AB2" s="3"/>
      <c r="AC2" s="3"/>
      <c r="AD2" s="21" t="s">
        <v>983</v>
      </c>
    </row>
    <row r="3" spans="1:30" x14ac:dyDescent="0.3">
      <c r="A3" s="3" t="s">
        <v>984</v>
      </c>
      <c r="B3" s="3"/>
      <c r="C3" s="3" t="s">
        <v>985</v>
      </c>
      <c r="D3" s="3" t="s">
        <v>986</v>
      </c>
      <c r="E3" s="3" t="s">
        <v>123</v>
      </c>
      <c r="F3" s="3"/>
      <c r="G3" s="3" t="s">
        <v>987</v>
      </c>
      <c r="H3" s="3" t="s">
        <v>988</v>
      </c>
      <c r="I3" s="3" t="s">
        <v>989</v>
      </c>
      <c r="J3" s="19" t="s">
        <v>990</v>
      </c>
      <c r="K3" s="3" t="s">
        <v>991</v>
      </c>
      <c r="L3" s="3" t="s">
        <v>992</v>
      </c>
      <c r="N3" s="20" t="s">
        <v>110</v>
      </c>
      <c r="O3" s="3"/>
      <c r="P3" s="3"/>
      <c r="R3" s="3"/>
      <c r="S3" s="3"/>
      <c r="T3" s="19"/>
      <c r="V3" s="3"/>
      <c r="W3" s="3"/>
      <c r="X3" s="20"/>
      <c r="Z3" s="3"/>
      <c r="AA3" s="3"/>
      <c r="AB3" s="3"/>
      <c r="AC3" s="3"/>
      <c r="AD3" s="21"/>
    </row>
    <row r="4" spans="1:30" x14ac:dyDescent="0.3">
      <c r="A4" s="3" t="s">
        <v>993</v>
      </c>
      <c r="B4" s="3"/>
      <c r="C4" s="3" t="s">
        <v>994</v>
      </c>
      <c r="D4" s="3" t="s">
        <v>995</v>
      </c>
      <c r="E4" s="3" t="s">
        <v>123</v>
      </c>
      <c r="F4" s="3"/>
      <c r="G4" s="3" t="s">
        <v>996</v>
      </c>
      <c r="H4" s="3" t="s">
        <v>988</v>
      </c>
      <c r="I4" s="3" t="s">
        <v>989</v>
      </c>
      <c r="J4" s="19" t="s">
        <v>990</v>
      </c>
      <c r="K4" s="3" t="s">
        <v>991</v>
      </c>
      <c r="L4" s="3" t="s">
        <v>992</v>
      </c>
      <c r="N4" s="20" t="s">
        <v>110</v>
      </c>
      <c r="O4" s="3"/>
      <c r="P4" s="3"/>
      <c r="R4" s="3"/>
      <c r="S4" s="3"/>
      <c r="T4" s="19"/>
      <c r="V4" s="3"/>
      <c r="W4" s="3"/>
      <c r="X4" s="20"/>
      <c r="Z4" s="3"/>
      <c r="AA4" s="3"/>
      <c r="AB4" s="3"/>
      <c r="AC4" s="3"/>
      <c r="AD4" s="21" t="s">
        <v>997</v>
      </c>
    </row>
  </sheetData>
  <dataValidations count="4">
    <dataValidation type="list" allowBlank="1" sqref="E2:E1000" xr:uid="{00000000-0002-0000-1100-000000000000}">
      <formula1>enum_package</formula1>
      <formula2>0</formula2>
    </dataValidation>
    <dataValidation type="list" allowBlank="1" sqref="J2:J1000 O2:O1000 T2:T1000 Y2:Y1000" xr:uid="{00000000-0002-0000-1100-000001000000}">
      <formula1>enum_mfn</formula1>
      <formula2>0</formula2>
    </dataValidation>
    <dataValidation type="list" allowBlank="1" sqref="N2:N1000 S2:S1000 X2:X1000 AC2:AC1000" xr:uid="{00000000-0002-0000-1100-000002000000}">
      <formula1>enum_status</formula1>
      <formula2>0</formula2>
    </dataValidation>
    <dataValidation type="list" allowBlank="1" sqref="M2:M1000 R2:R1000 W2:W1000 AB2:AB1000" xr:uid="{00000000-0002-0000-1100-000003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22" customWidth="1"/>
    <col min="3" max="3" width="13" customWidth="1"/>
    <col min="4" max="4" width="10" customWidth="1"/>
    <col min="5" max="5" width="19" customWidth="1"/>
    <col min="6" max="7" width="10" customWidth="1"/>
    <col min="8" max="8" width="12" customWidth="1"/>
    <col min="9" max="9" width="11" customWidth="1"/>
    <col min="10" max="10" width="15.77734375" style="8" customWidth="1"/>
    <col min="11" max="13" width="15.77734375" customWidth="1"/>
    <col min="14" max="14" width="15.77734375" style="9" customWidth="1"/>
    <col min="15" max="19" width="15.77734375" customWidth="1"/>
    <col min="20" max="20" width="15.77734375" style="8" customWidth="1"/>
    <col min="21" max="23" width="15.77734375" customWidth="1"/>
    <col min="24" max="24" width="15.77734375" style="9" customWidth="1"/>
    <col min="25" max="29" width="15.77734375" customWidth="1"/>
    <col min="30" max="30" width="15.77734375" style="10" customWidth="1"/>
  </cols>
  <sheetData>
    <row r="1" spans="1:30" ht="27.75" customHeight="1" x14ac:dyDescent="0.3">
      <c r="A1" s="11" t="s">
        <v>70</v>
      </c>
      <c r="B1" s="11" t="s">
        <v>286</v>
      </c>
      <c r="C1" s="11" t="s">
        <v>3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3" t="s">
        <v>78</v>
      </c>
      <c r="K1" s="14" t="s">
        <v>79</v>
      </c>
      <c r="L1" s="14" t="s">
        <v>80</v>
      </c>
      <c r="M1" s="14" t="s">
        <v>81</v>
      </c>
      <c r="N1" s="16" t="s">
        <v>82</v>
      </c>
      <c r="O1" s="14" t="s">
        <v>83</v>
      </c>
      <c r="P1" s="14" t="s">
        <v>84</v>
      </c>
      <c r="Q1" s="14" t="s">
        <v>85</v>
      </c>
      <c r="R1" s="14" t="s">
        <v>86</v>
      </c>
      <c r="S1" s="14" t="s">
        <v>87</v>
      </c>
      <c r="T1" s="13" t="s">
        <v>88</v>
      </c>
      <c r="U1" s="14" t="s">
        <v>89</v>
      </c>
      <c r="V1" s="14" t="s">
        <v>90</v>
      </c>
      <c r="W1" s="14" t="s">
        <v>91</v>
      </c>
      <c r="X1" s="16" t="s">
        <v>92</v>
      </c>
      <c r="Y1" s="14" t="s">
        <v>93</v>
      </c>
      <c r="Z1" s="14" t="s">
        <v>94</v>
      </c>
      <c r="AA1" s="14" t="s">
        <v>95</v>
      </c>
      <c r="AB1" s="14" t="s">
        <v>96</v>
      </c>
      <c r="AC1" s="14" t="s">
        <v>97</v>
      </c>
      <c r="AD1" s="17" t="s">
        <v>98</v>
      </c>
    </row>
  </sheetData>
  <dataValidations count="4">
    <dataValidation type="list" allowBlank="1" sqref="E2:E1000" xr:uid="{00000000-0002-0000-1200-000000000000}">
      <formula1>enum_package</formula1>
      <formula2>0</formula2>
    </dataValidation>
    <dataValidation type="list" allowBlank="1" sqref="J2:J1000 O2:O1000 T2:T1000 Y2:Y1000" xr:uid="{00000000-0002-0000-1200-000001000000}">
      <formula1>enum_mfn</formula1>
      <formula2>0</formula2>
    </dataValidation>
    <dataValidation type="list" allowBlank="1" sqref="N2:N1000 S2:S1000 X2:X1000 AC2:AC1000" xr:uid="{00000000-0002-0000-1200-000002000000}">
      <formula1>enum_status</formula1>
      <formula2>0</formula2>
    </dataValidation>
    <dataValidation type="list" allowBlank="1" sqref="M2:M1000 R2:R1000 W2:W1000 AB2:AB1000" xr:uid="{00000000-0002-0000-1200-000003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1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22" customWidth="1"/>
    <col min="3" max="3" width="13" customWidth="1"/>
    <col min="4" max="4" width="10" customWidth="1"/>
    <col min="5" max="5" width="19" customWidth="1"/>
    <col min="6" max="7" width="10" customWidth="1"/>
    <col min="8" max="8" width="12" customWidth="1"/>
    <col min="9" max="9" width="11" customWidth="1"/>
    <col min="10" max="10" width="15.77734375" style="8" customWidth="1"/>
    <col min="11" max="13" width="15.77734375" customWidth="1"/>
    <col min="14" max="14" width="15.77734375" style="9" customWidth="1"/>
    <col min="15" max="19" width="15.77734375" customWidth="1"/>
    <col min="20" max="20" width="15.77734375" style="8" customWidth="1"/>
    <col min="21" max="23" width="15.77734375" customWidth="1"/>
    <col min="24" max="24" width="15.77734375" style="9" customWidth="1"/>
    <col min="25" max="29" width="15.77734375" customWidth="1"/>
    <col min="30" max="30" width="15.77734375" style="10" customWidth="1"/>
  </cols>
  <sheetData>
    <row r="1" spans="1:30" ht="27.75" customHeight="1" x14ac:dyDescent="0.3">
      <c r="A1" s="11" t="s">
        <v>70</v>
      </c>
      <c r="B1" s="11" t="s">
        <v>286</v>
      </c>
      <c r="C1" s="11" t="s">
        <v>3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3" t="s">
        <v>78</v>
      </c>
      <c r="K1" s="14" t="s">
        <v>79</v>
      </c>
      <c r="L1" s="14" t="s">
        <v>80</v>
      </c>
      <c r="M1" s="14" t="s">
        <v>81</v>
      </c>
      <c r="N1" s="16" t="s">
        <v>82</v>
      </c>
      <c r="O1" s="14" t="s">
        <v>83</v>
      </c>
      <c r="P1" s="14" t="s">
        <v>84</v>
      </c>
      <c r="Q1" s="14" t="s">
        <v>85</v>
      </c>
      <c r="R1" s="14" t="s">
        <v>86</v>
      </c>
      <c r="S1" s="14" t="s">
        <v>87</v>
      </c>
      <c r="T1" s="13" t="s">
        <v>88</v>
      </c>
      <c r="U1" s="14" t="s">
        <v>89</v>
      </c>
      <c r="V1" s="14" t="s">
        <v>90</v>
      </c>
      <c r="W1" s="14" t="s">
        <v>91</v>
      </c>
      <c r="X1" s="16" t="s">
        <v>92</v>
      </c>
      <c r="Y1" s="14" t="s">
        <v>93</v>
      </c>
      <c r="Z1" s="14" t="s">
        <v>94</v>
      </c>
      <c r="AA1" s="14" t="s">
        <v>95</v>
      </c>
      <c r="AB1" s="14" t="s">
        <v>96</v>
      </c>
      <c r="AC1" s="14" t="s">
        <v>97</v>
      </c>
      <c r="AD1" s="17" t="s">
        <v>98</v>
      </c>
    </row>
  </sheetData>
  <dataValidations count="4">
    <dataValidation type="list" allowBlank="1" sqref="E2:E1000" xr:uid="{00000000-0002-0000-1300-000000000000}">
      <formula1>enum_package</formula1>
      <formula2>0</formula2>
    </dataValidation>
    <dataValidation type="list" allowBlank="1" sqref="J2:J1000 O2:O1000 T2:T1000 Y2:Y1000" xr:uid="{00000000-0002-0000-1300-000001000000}">
      <formula1>enum_mfn</formula1>
      <formula2>0</formula2>
    </dataValidation>
    <dataValidation type="list" allowBlank="1" sqref="N2:N1000 S2:S1000 X2:X1000 AC2:AC1000" xr:uid="{00000000-0002-0000-1300-000002000000}">
      <formula1>enum_status</formula1>
      <formula2>0</formula2>
    </dataValidation>
    <dataValidation type="list" allowBlank="1" sqref="M2:M1000 R2:R1000 W2:W1000 AB2:AB1000" xr:uid="{00000000-0002-0000-1300-000003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D4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22" customWidth="1"/>
    <col min="3" max="3" width="36" customWidth="1"/>
    <col min="4" max="4" width="12" customWidth="1"/>
    <col min="5" max="5" width="19" customWidth="1"/>
    <col min="6" max="6" width="10" customWidth="1"/>
    <col min="7" max="8" width="20" customWidth="1"/>
    <col min="9" max="9" width="45" customWidth="1"/>
    <col min="10" max="10" width="10" customWidth="1"/>
    <col min="11" max="11" width="18" customWidth="1"/>
    <col min="12" max="12" width="16" customWidth="1"/>
    <col min="13" max="13" width="11" customWidth="1"/>
    <col min="14" max="14" width="10" customWidth="1"/>
    <col min="15" max="15" width="14" customWidth="1"/>
    <col min="16" max="16" width="15" customWidth="1"/>
    <col min="17" max="17" width="11" customWidth="1"/>
    <col min="18" max="25" width="10" customWidth="1"/>
    <col min="26" max="26" width="45" customWidth="1"/>
  </cols>
  <sheetData>
    <row r="1" spans="1:30" ht="27.75" customHeight="1" x14ac:dyDescent="0.3">
      <c r="A1" s="11" t="s">
        <v>70</v>
      </c>
      <c r="B1" s="11" t="s">
        <v>286</v>
      </c>
      <c r="C1" s="11" t="s">
        <v>3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1" t="s">
        <v>78</v>
      </c>
      <c r="K1" s="11" t="s">
        <v>79</v>
      </c>
      <c r="L1" s="11" t="s">
        <v>80</v>
      </c>
      <c r="M1" t="s">
        <v>81</v>
      </c>
      <c r="N1" s="11" t="s">
        <v>82</v>
      </c>
      <c r="O1" s="11" t="s">
        <v>83</v>
      </c>
      <c r="P1" s="11" t="s">
        <v>84</v>
      </c>
      <c r="Q1" t="s">
        <v>86</v>
      </c>
      <c r="R1" s="11" t="s">
        <v>85</v>
      </c>
      <c r="S1" s="11" t="s">
        <v>87</v>
      </c>
      <c r="T1" s="11" t="s">
        <v>88</v>
      </c>
      <c r="U1" t="s">
        <v>91</v>
      </c>
      <c r="V1" s="11" t="s">
        <v>89</v>
      </c>
      <c r="W1" s="11" t="s">
        <v>90</v>
      </c>
      <c r="X1" s="11" t="s">
        <v>92</v>
      </c>
      <c r="Y1" t="s">
        <v>96</v>
      </c>
      <c r="Z1" s="11" t="s">
        <v>93</v>
      </c>
      <c r="AA1" s="11" t="s">
        <v>94</v>
      </c>
      <c r="AB1" s="11" t="s">
        <v>95</v>
      </c>
      <c r="AC1" s="11" t="s">
        <v>97</v>
      </c>
      <c r="AD1" s="11" t="s">
        <v>98</v>
      </c>
    </row>
    <row r="2" spans="1:30" x14ac:dyDescent="0.3">
      <c r="A2" s="3" t="s">
        <v>998</v>
      </c>
      <c r="B2" s="3"/>
      <c r="C2" s="3" t="s">
        <v>999</v>
      </c>
      <c r="D2" s="3" t="s">
        <v>1000</v>
      </c>
      <c r="E2" s="3" t="s">
        <v>1001</v>
      </c>
      <c r="F2" s="3" t="s">
        <v>1002</v>
      </c>
      <c r="G2" s="3" t="s">
        <v>1003</v>
      </c>
      <c r="H2" s="3" t="s">
        <v>1004</v>
      </c>
      <c r="I2" s="3" t="s">
        <v>123</v>
      </c>
      <c r="J2" s="3" t="s">
        <v>1005</v>
      </c>
      <c r="K2" s="3" t="s">
        <v>1006</v>
      </c>
      <c r="L2" s="3" t="s">
        <v>1007</v>
      </c>
      <c r="N2" s="3" t="s">
        <v>127</v>
      </c>
      <c r="O2" s="3" t="s">
        <v>980</v>
      </c>
      <c r="P2" s="3" t="s">
        <v>1008</v>
      </c>
      <c r="R2" s="3" t="s">
        <v>1009</v>
      </c>
      <c r="S2" s="3" t="s">
        <v>110</v>
      </c>
      <c r="T2" s="3"/>
      <c r="V2" s="3"/>
      <c r="W2" s="3"/>
      <c r="X2" s="3"/>
      <c r="Z2" s="3"/>
      <c r="AA2" s="3"/>
      <c r="AB2" s="3"/>
      <c r="AC2" s="3"/>
      <c r="AD2" s="3" t="s">
        <v>1010</v>
      </c>
    </row>
    <row r="3" spans="1:30" x14ac:dyDescent="0.3">
      <c r="A3" s="3" t="s">
        <v>1011</v>
      </c>
      <c r="B3" s="3"/>
      <c r="C3" s="3" t="s">
        <v>1012</v>
      </c>
      <c r="D3" s="3" t="s">
        <v>1013</v>
      </c>
      <c r="E3" s="3" t="s">
        <v>123</v>
      </c>
      <c r="F3" s="3" t="s">
        <v>1002</v>
      </c>
      <c r="G3" s="3" t="s">
        <v>1014</v>
      </c>
      <c r="H3" s="3" t="s">
        <v>1015</v>
      </c>
      <c r="I3" s="3" t="s">
        <v>1016</v>
      </c>
      <c r="J3" s="3" t="s">
        <v>1017</v>
      </c>
      <c r="K3" s="3" t="s">
        <v>1018</v>
      </c>
      <c r="L3" s="3" t="s">
        <v>227</v>
      </c>
      <c r="N3" s="3" t="s">
        <v>110</v>
      </c>
      <c r="O3" s="3"/>
      <c r="P3" s="3"/>
      <c r="R3" s="3"/>
      <c r="S3" s="3"/>
      <c r="T3" s="3"/>
      <c r="V3" s="3"/>
      <c r="W3" s="3"/>
      <c r="X3" s="3"/>
      <c r="Z3" s="3"/>
      <c r="AA3" s="3"/>
      <c r="AB3" s="3"/>
      <c r="AC3" s="3"/>
      <c r="AD3" s="3"/>
    </row>
    <row r="4" spans="1:30" x14ac:dyDescent="0.3">
      <c r="A4" s="3" t="s">
        <v>1019</v>
      </c>
      <c r="B4" s="3"/>
      <c r="C4" s="3" t="s">
        <v>1020</v>
      </c>
      <c r="D4" s="3" t="s">
        <v>1021</v>
      </c>
      <c r="E4" s="3" t="s">
        <v>123</v>
      </c>
      <c r="F4" s="3" t="s">
        <v>1002</v>
      </c>
      <c r="G4" s="3" t="s">
        <v>1022</v>
      </c>
      <c r="H4" s="3" t="s">
        <v>1023</v>
      </c>
      <c r="I4" s="3" t="s">
        <v>1016</v>
      </c>
      <c r="J4" s="3" t="s">
        <v>1017</v>
      </c>
      <c r="K4" s="3" t="s">
        <v>1024</v>
      </c>
      <c r="L4" s="3" t="s">
        <v>227</v>
      </c>
      <c r="N4" s="3" t="s">
        <v>110</v>
      </c>
      <c r="O4" s="3"/>
      <c r="P4" s="3"/>
      <c r="R4" s="3"/>
      <c r="S4" s="3"/>
      <c r="T4" s="3"/>
      <c r="V4" s="3"/>
      <c r="W4" s="3"/>
      <c r="X4" s="3"/>
      <c r="Z4" s="3"/>
      <c r="AA4" s="3"/>
      <c r="AB4" s="3"/>
      <c r="AC4" s="3"/>
      <c r="AD4" s="3"/>
    </row>
  </sheetData>
  <autoFilter ref="A1:Z4" xr:uid="{00000000-0009-0000-0000-000014000000}"/>
  <dataValidations count="4">
    <dataValidation type="list" allowBlank="1" sqref="E2:E1000" xr:uid="{00000000-0002-0000-1400-000000000000}">
      <formula1>enum_package</formula1>
      <formula2>0</formula2>
    </dataValidation>
    <dataValidation type="list" allowBlank="1" sqref="J2:J1000 O2:O1000 T2:T1000 Z2:Z1000" xr:uid="{00000000-0002-0000-1400-000001000000}">
      <formula1>enum_mfn</formula1>
      <formula2>0</formula2>
    </dataValidation>
    <dataValidation type="list" allowBlank="1" sqref="N2:N1000 S2:S1000 X2:X1000 AC2:AC1000" xr:uid="{00000000-0002-0000-1400-000002000000}">
      <formula1>enum_status</formula1>
      <formula2>0</formula2>
    </dataValidation>
    <dataValidation type="list" allowBlank="1" sqref="M2:M1000 Q2:Q1000 U2:U1000 Y2:Y1000" xr:uid="{00000000-0002-0000-1400-000003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D8"/>
  <sheetViews>
    <sheetView zoomScaleNormal="100" workbookViewId="0">
      <selection activeCell="I37" sqref="I37"/>
    </sheetView>
  </sheetViews>
  <sheetFormatPr defaultColWidth="8.6640625" defaultRowHeight="14.4" x14ac:dyDescent="0.3"/>
  <cols>
    <col min="1" max="1" width="14" customWidth="1"/>
    <col min="2" max="2" width="22" customWidth="1"/>
    <col min="3" max="3" width="38" customWidth="1"/>
    <col min="4" max="4" width="12" customWidth="1"/>
    <col min="5" max="5" width="19" customWidth="1"/>
    <col min="6" max="6" width="10" customWidth="1"/>
    <col min="7" max="7" width="20" customWidth="1"/>
    <col min="8" max="8" width="29" customWidth="1"/>
    <col min="9" max="9" width="45" customWidth="1"/>
    <col min="10" max="10" width="15" customWidth="1"/>
    <col min="11" max="11" width="18" customWidth="1"/>
    <col min="12" max="12" width="15" customWidth="1"/>
    <col min="13" max="13" width="11" customWidth="1"/>
    <col min="14" max="15" width="10" customWidth="1"/>
    <col min="16" max="16" width="14" customWidth="1"/>
    <col min="17" max="17" width="11" customWidth="1"/>
    <col min="18" max="25" width="10" customWidth="1"/>
    <col min="26" max="26" width="45" customWidth="1"/>
  </cols>
  <sheetData>
    <row r="1" spans="1:30" ht="27.75" customHeight="1" x14ac:dyDescent="0.3">
      <c r="A1" s="11" t="s">
        <v>70</v>
      </c>
      <c r="B1" s="11" t="s">
        <v>286</v>
      </c>
      <c r="C1" s="11" t="s">
        <v>3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1" t="s">
        <v>78</v>
      </c>
      <c r="K1" s="11" t="s">
        <v>79</v>
      </c>
      <c r="L1" s="11" t="s">
        <v>80</v>
      </c>
      <c r="M1" t="s">
        <v>81</v>
      </c>
      <c r="N1" s="11" t="s">
        <v>82</v>
      </c>
      <c r="O1" s="11" t="s">
        <v>83</v>
      </c>
      <c r="P1" s="11" t="s">
        <v>84</v>
      </c>
      <c r="Q1" t="s">
        <v>86</v>
      </c>
      <c r="R1" s="11" t="s">
        <v>85</v>
      </c>
      <c r="S1" s="11" t="s">
        <v>87</v>
      </c>
      <c r="T1" s="11" t="s">
        <v>88</v>
      </c>
      <c r="U1" t="s">
        <v>91</v>
      </c>
      <c r="V1" s="11" t="s">
        <v>89</v>
      </c>
      <c r="W1" s="11" t="s">
        <v>90</v>
      </c>
      <c r="X1" s="11" t="s">
        <v>92</v>
      </c>
      <c r="Y1" t="s">
        <v>96</v>
      </c>
      <c r="Z1" s="11" t="s">
        <v>93</v>
      </c>
      <c r="AA1" s="11" t="s">
        <v>94</v>
      </c>
      <c r="AB1" s="11" t="s">
        <v>95</v>
      </c>
      <c r="AC1" s="11" t="s">
        <v>97</v>
      </c>
      <c r="AD1" s="11" t="s">
        <v>98</v>
      </c>
    </row>
    <row r="2" spans="1:30" x14ac:dyDescent="0.3">
      <c r="A2" s="3" t="s">
        <v>1025</v>
      </c>
      <c r="B2" s="3"/>
      <c r="C2" s="3" t="s">
        <v>1026</v>
      </c>
      <c r="D2" s="3" t="s">
        <v>1027</v>
      </c>
      <c r="E2" s="3" t="s">
        <v>295</v>
      </c>
      <c r="F2" s="3" t="s">
        <v>1028</v>
      </c>
      <c r="G2" s="3" t="s">
        <v>1029</v>
      </c>
      <c r="H2" s="3" t="s">
        <v>298</v>
      </c>
      <c r="I2" s="3" t="s">
        <v>1030</v>
      </c>
      <c r="J2" s="3" t="s">
        <v>299</v>
      </c>
      <c r="K2" s="3" t="s">
        <v>1031</v>
      </c>
      <c r="L2" s="3" t="s">
        <v>1032</v>
      </c>
      <c r="N2" s="3" t="s">
        <v>127</v>
      </c>
      <c r="O2" s="3" t="s">
        <v>322</v>
      </c>
      <c r="P2" s="3" t="s">
        <v>1031</v>
      </c>
      <c r="R2" s="3" t="s">
        <v>1033</v>
      </c>
      <c r="S2" s="3" t="s">
        <v>110</v>
      </c>
      <c r="T2" s="3"/>
      <c r="V2" s="3"/>
      <c r="W2" s="3"/>
      <c r="X2" s="3"/>
      <c r="Z2" s="3"/>
      <c r="AA2" s="3"/>
      <c r="AB2" s="3"/>
      <c r="AC2" s="3"/>
      <c r="AD2" s="3"/>
    </row>
    <row r="3" spans="1:30" x14ac:dyDescent="0.3">
      <c r="A3" s="3" t="s">
        <v>1034</v>
      </c>
      <c r="B3" s="3"/>
      <c r="C3" s="3" t="s">
        <v>1035</v>
      </c>
      <c r="D3" s="3" t="s">
        <v>1036</v>
      </c>
      <c r="E3" s="3" t="s">
        <v>123</v>
      </c>
      <c r="F3" s="3" t="s">
        <v>1028</v>
      </c>
      <c r="G3" s="3" t="s">
        <v>1029</v>
      </c>
      <c r="H3" s="3" t="s">
        <v>123</v>
      </c>
      <c r="I3" s="3" t="s">
        <v>1037</v>
      </c>
      <c r="J3" s="3" t="s">
        <v>123</v>
      </c>
      <c r="K3" s="3" t="s">
        <v>123</v>
      </c>
      <c r="L3" s="3" t="s">
        <v>123</v>
      </c>
      <c r="N3" s="3" t="s">
        <v>313</v>
      </c>
      <c r="O3" s="3"/>
      <c r="P3" s="3"/>
      <c r="R3" s="3"/>
      <c r="S3" s="3"/>
      <c r="T3" s="3"/>
      <c r="V3" s="3"/>
      <c r="W3" s="3"/>
      <c r="X3" s="3"/>
      <c r="Z3" s="3"/>
      <c r="AA3" s="3"/>
      <c r="AB3" s="3"/>
      <c r="AC3" s="3"/>
      <c r="AD3" s="3"/>
    </row>
    <row r="4" spans="1:30" x14ac:dyDescent="0.3">
      <c r="A4" s="3" t="s">
        <v>1038</v>
      </c>
      <c r="B4" s="3"/>
      <c r="C4" s="3" t="s">
        <v>1039</v>
      </c>
      <c r="D4" s="3" t="s">
        <v>1040</v>
      </c>
      <c r="E4" s="3" t="s">
        <v>295</v>
      </c>
      <c r="F4" s="3" t="s">
        <v>1041</v>
      </c>
      <c r="G4" s="3" t="s">
        <v>1042</v>
      </c>
      <c r="H4" s="3" t="s">
        <v>298</v>
      </c>
      <c r="I4" s="3" t="s">
        <v>1043</v>
      </c>
      <c r="J4" s="3" t="s">
        <v>1044</v>
      </c>
      <c r="K4" s="3" t="s">
        <v>1045</v>
      </c>
      <c r="L4" s="3" t="s">
        <v>1046</v>
      </c>
      <c r="N4" s="3" t="s">
        <v>127</v>
      </c>
      <c r="O4" s="3"/>
      <c r="P4" s="3"/>
      <c r="R4" s="3"/>
      <c r="S4" s="3"/>
      <c r="T4" s="3"/>
      <c r="V4" s="3"/>
      <c r="W4" s="3"/>
      <c r="X4" s="3"/>
      <c r="Z4" s="3"/>
      <c r="AA4" s="3"/>
      <c r="AB4" s="3"/>
      <c r="AC4" s="3"/>
      <c r="AD4" s="3" t="s">
        <v>1047</v>
      </c>
    </row>
    <row r="5" spans="1:30" x14ac:dyDescent="0.3">
      <c r="A5" s="3" t="s">
        <v>1048</v>
      </c>
      <c r="B5" s="3"/>
      <c r="C5" s="3" t="s">
        <v>1049</v>
      </c>
      <c r="D5" s="3" t="s">
        <v>1050</v>
      </c>
      <c r="E5" s="3" t="s">
        <v>123</v>
      </c>
      <c r="F5" s="3" t="s">
        <v>1041</v>
      </c>
      <c r="G5" s="3" t="s">
        <v>1042</v>
      </c>
      <c r="H5" s="3" t="s">
        <v>123</v>
      </c>
      <c r="I5" s="3"/>
      <c r="J5" s="3" t="s">
        <v>123</v>
      </c>
      <c r="K5" s="3" t="s">
        <v>123</v>
      </c>
      <c r="L5" s="3" t="s">
        <v>123</v>
      </c>
      <c r="N5" s="3" t="s">
        <v>313</v>
      </c>
      <c r="O5" s="3"/>
      <c r="P5" s="3"/>
      <c r="R5" s="3"/>
      <c r="S5" s="3"/>
      <c r="T5" s="3"/>
      <c r="V5" s="3"/>
      <c r="W5" s="3"/>
      <c r="X5" s="3"/>
      <c r="Z5" s="3"/>
      <c r="AA5" s="3"/>
      <c r="AB5" s="3"/>
      <c r="AC5" s="3"/>
      <c r="AD5" s="3"/>
    </row>
    <row r="6" spans="1:30" x14ac:dyDescent="0.3">
      <c r="A6" s="3" t="s">
        <v>1051</v>
      </c>
      <c r="B6" s="3"/>
      <c r="C6" s="3" t="s">
        <v>1052</v>
      </c>
      <c r="D6" s="3" t="s">
        <v>1053</v>
      </c>
      <c r="E6" s="3" t="s">
        <v>295</v>
      </c>
      <c r="F6" s="3" t="s">
        <v>1041</v>
      </c>
      <c r="G6" s="3" t="s">
        <v>1054</v>
      </c>
      <c r="H6" s="3" t="s">
        <v>298</v>
      </c>
      <c r="I6" s="3" t="s">
        <v>1055</v>
      </c>
      <c r="J6" s="3" t="s">
        <v>1056</v>
      </c>
      <c r="K6" s="3" t="s">
        <v>1057</v>
      </c>
      <c r="L6" s="3" t="s">
        <v>1058</v>
      </c>
      <c r="N6" s="3" t="s">
        <v>127</v>
      </c>
      <c r="O6" s="3"/>
      <c r="P6" s="3"/>
      <c r="R6" s="3"/>
      <c r="S6" s="3"/>
      <c r="T6" s="3"/>
      <c r="V6" s="3"/>
      <c r="W6" s="3"/>
      <c r="X6" s="3"/>
      <c r="Z6" s="3"/>
      <c r="AA6" s="3"/>
      <c r="AB6" s="3"/>
      <c r="AC6" s="3"/>
      <c r="AD6" s="3"/>
    </row>
    <row r="7" spans="1:30" x14ac:dyDescent="0.3">
      <c r="A7" s="3" t="s">
        <v>1059</v>
      </c>
      <c r="B7" s="3"/>
      <c r="C7" s="3" t="s">
        <v>1060</v>
      </c>
      <c r="D7" s="3" t="s">
        <v>1061</v>
      </c>
      <c r="E7" s="3" t="s">
        <v>295</v>
      </c>
      <c r="F7" s="3" t="s">
        <v>1041</v>
      </c>
      <c r="G7" s="3" t="s">
        <v>1054</v>
      </c>
      <c r="H7" s="3" t="s">
        <v>298</v>
      </c>
      <c r="I7" s="3" t="s">
        <v>1062</v>
      </c>
      <c r="J7" s="3" t="s">
        <v>1044</v>
      </c>
      <c r="K7" s="3" t="s">
        <v>1063</v>
      </c>
      <c r="L7" s="3" t="s">
        <v>1064</v>
      </c>
      <c r="N7" s="3" t="s">
        <v>127</v>
      </c>
      <c r="O7" s="3"/>
      <c r="P7" s="3"/>
      <c r="R7" s="3"/>
      <c r="S7" s="3"/>
      <c r="T7" s="3"/>
      <c r="V7" s="3"/>
      <c r="W7" s="3"/>
      <c r="X7" s="3"/>
      <c r="Z7" s="3"/>
      <c r="AA7" s="3"/>
      <c r="AB7" s="3"/>
      <c r="AC7" s="3"/>
      <c r="AD7" s="3"/>
    </row>
    <row r="8" spans="1:30" x14ac:dyDescent="0.3">
      <c r="A8" s="3" t="s">
        <v>1065</v>
      </c>
      <c r="B8" s="3"/>
      <c r="C8" s="3" t="s">
        <v>1066</v>
      </c>
      <c r="D8" s="3" t="s">
        <v>1067</v>
      </c>
      <c r="E8" s="3" t="s">
        <v>123</v>
      </c>
      <c r="F8" s="3" t="s">
        <v>1041</v>
      </c>
      <c r="G8" s="3" t="s">
        <v>1054</v>
      </c>
      <c r="H8" s="3" t="s">
        <v>123</v>
      </c>
      <c r="I8" s="3"/>
      <c r="J8" s="3" t="s">
        <v>123</v>
      </c>
      <c r="K8" s="3" t="s">
        <v>123</v>
      </c>
      <c r="L8" s="3" t="s">
        <v>123</v>
      </c>
      <c r="N8" s="3" t="s">
        <v>313</v>
      </c>
      <c r="O8" s="3"/>
      <c r="P8" s="3"/>
      <c r="R8" s="3"/>
      <c r="S8" s="3"/>
      <c r="T8" s="3"/>
      <c r="V8" s="3"/>
      <c r="W8" s="3"/>
      <c r="X8" s="3"/>
      <c r="Z8" s="3"/>
      <c r="AA8" s="3"/>
      <c r="AB8" s="3"/>
      <c r="AC8" s="3"/>
      <c r="AD8" s="3"/>
    </row>
  </sheetData>
  <autoFilter ref="A1:Z8" xr:uid="{00000000-0009-0000-0000-000015000000}"/>
  <dataValidations count="5">
    <dataValidation type="list" allowBlank="1" sqref="E2:E1000" xr:uid="{00000000-0002-0000-1500-000000000000}">
      <formula1>enum_package</formula1>
      <formula2>0</formula2>
    </dataValidation>
    <dataValidation type="list" allowBlank="1" sqref="F2:F1000" xr:uid="{00000000-0002-0000-1500-000001000000}">
      <formula1>enum_trn_techno</formula1>
      <formula2>0</formula2>
    </dataValidation>
    <dataValidation type="list" allowBlank="1" sqref="J2:J1000 O2:O1000 T2:T1000 Z2:Z1000" xr:uid="{00000000-0002-0000-1500-000002000000}">
      <formula1>enum_mfn</formula1>
      <formula2>0</formula2>
    </dataValidation>
    <dataValidation type="list" allowBlank="1" sqref="N2:N1000 S2:S1000 X2:X1000 AC2:AC1000" xr:uid="{00000000-0002-0000-1500-000003000000}">
      <formula1>enum_status</formula1>
      <formula2>0</formula2>
    </dataValidation>
    <dataValidation type="list" allowBlank="1" sqref="M2:M1000 Q2:Q1000 U2:U1000 Y2:Y1000" xr:uid="{00000000-0002-0000-1500-000004000000}">
      <formula1>enum_lcsc_type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3"/>
  <sheetViews>
    <sheetView zoomScale="70" zoomScaleNormal="70" workbookViewId="0">
      <selection activeCell="D7" sqref="D7"/>
    </sheetView>
  </sheetViews>
  <sheetFormatPr defaultColWidth="8.6640625" defaultRowHeight="14.4" x14ac:dyDescent="0.3"/>
  <cols>
    <col min="1" max="1" width="7.44140625" customWidth="1"/>
    <col min="2" max="2" width="24.5546875" customWidth="1"/>
    <col min="3" max="3" width="3" customWidth="1"/>
    <col min="4" max="4" width="9.5546875" customWidth="1"/>
    <col min="5" max="5" width="16" customWidth="1"/>
    <col min="6" max="6" width="3" customWidth="1"/>
    <col min="7" max="7" width="10" customWidth="1"/>
    <col min="8" max="8" width="20" customWidth="1"/>
    <col min="9" max="9" width="3" customWidth="1"/>
    <col min="10" max="10" width="9.109375" customWidth="1"/>
    <col min="11" max="11" width="53.44140625" customWidth="1"/>
    <col min="12" max="12" width="3" customWidth="1"/>
    <col min="13" max="13" width="21" customWidth="1"/>
    <col min="14" max="14" width="19.77734375" customWidth="1"/>
    <col min="15" max="15" width="3" customWidth="1"/>
    <col min="16" max="16" width="19" customWidth="1"/>
    <col min="17" max="17" width="32" customWidth="1"/>
    <col min="18" max="18" width="3" customWidth="1"/>
    <col min="19" max="19" width="23.6640625" customWidth="1"/>
    <col min="20" max="20" width="21.6640625" customWidth="1"/>
    <col min="21" max="21" width="3" customWidth="1"/>
    <col min="22" max="22" width="19" customWidth="1"/>
    <col min="23" max="23" width="32.33203125" customWidth="1"/>
    <col min="24" max="24" width="3" customWidth="1"/>
    <col min="25" max="25" width="19" customWidth="1"/>
    <col min="26" max="26" width="32" customWidth="1"/>
    <col min="27" max="27" width="3" customWidth="1"/>
    <col min="28" max="28" width="19" customWidth="1"/>
    <col min="29" max="29" width="32" customWidth="1"/>
    <col min="30" max="30" width="3" customWidth="1"/>
    <col min="31" max="31" width="19" customWidth="1"/>
    <col min="32" max="32" width="32" customWidth="1"/>
    <col min="33" max="33" width="3" customWidth="1"/>
    <col min="34" max="34" width="19" customWidth="1"/>
    <col min="35" max="35" width="96.88671875" customWidth="1"/>
    <col min="36" max="36" width="3" customWidth="1"/>
    <col min="37" max="37" width="19" customWidth="1"/>
    <col min="38" max="38" width="47.88671875" customWidth="1"/>
    <col min="39" max="39" width="3" customWidth="1"/>
    <col min="40" max="40" width="19.6640625" customWidth="1"/>
    <col min="41" max="41" width="46.44140625" customWidth="1"/>
  </cols>
  <sheetData>
    <row r="1" spans="1:41" ht="15" customHeight="1" x14ac:dyDescent="0.3">
      <c r="A1" s="1" t="s">
        <v>1068</v>
      </c>
      <c r="B1" s="1"/>
      <c r="D1" s="1" t="s">
        <v>1069</v>
      </c>
      <c r="E1" s="1"/>
      <c r="G1" s="1" t="s">
        <v>1070</v>
      </c>
      <c r="H1" s="1"/>
      <c r="J1" s="1" t="s">
        <v>1071</v>
      </c>
      <c r="K1" s="1"/>
      <c r="M1" s="1" t="s">
        <v>1072</v>
      </c>
      <c r="N1" s="1"/>
      <c r="P1" s="1" t="s">
        <v>1073</v>
      </c>
      <c r="Q1" s="1"/>
      <c r="S1" s="1" t="s">
        <v>1074</v>
      </c>
      <c r="T1" s="1"/>
      <c r="V1" s="1" t="s">
        <v>1075</v>
      </c>
      <c r="W1" s="1"/>
      <c r="Y1" s="1" t="s">
        <v>1076</v>
      </c>
      <c r="Z1" s="1"/>
      <c r="AB1" s="1" t="s">
        <v>1077</v>
      </c>
      <c r="AC1" s="1"/>
      <c r="AE1" s="1" t="s">
        <v>1078</v>
      </c>
      <c r="AF1" s="1"/>
      <c r="AH1" s="1" t="s">
        <v>1079</v>
      </c>
      <c r="AI1" s="1"/>
      <c r="AK1" s="1" t="s">
        <v>1080</v>
      </c>
      <c r="AL1" s="1"/>
      <c r="AN1" s="1" t="s">
        <v>1081</v>
      </c>
      <c r="AO1" s="1"/>
    </row>
    <row r="2" spans="1:41" x14ac:dyDescent="0.3">
      <c r="A2" s="36" t="s">
        <v>1082</v>
      </c>
      <c r="B2" s="36" t="s">
        <v>3</v>
      </c>
      <c r="D2" s="36" t="s">
        <v>1083</v>
      </c>
      <c r="E2" s="36" t="s">
        <v>1084</v>
      </c>
      <c r="G2" s="36" t="s">
        <v>1083</v>
      </c>
      <c r="H2" s="36" t="s">
        <v>1084</v>
      </c>
      <c r="J2" s="36" t="s">
        <v>1083</v>
      </c>
      <c r="K2" s="36" t="s">
        <v>1084</v>
      </c>
      <c r="M2" s="36" t="s">
        <v>1083</v>
      </c>
      <c r="N2" s="36" t="s">
        <v>1084</v>
      </c>
      <c r="P2" s="36" t="s">
        <v>1083</v>
      </c>
      <c r="Q2" s="36" t="s">
        <v>1084</v>
      </c>
      <c r="S2" s="36" t="s">
        <v>1083</v>
      </c>
      <c r="T2" s="36" t="s">
        <v>1084</v>
      </c>
      <c r="V2" s="36" t="s">
        <v>1083</v>
      </c>
      <c r="W2" s="36" t="s">
        <v>1084</v>
      </c>
      <c r="Y2" s="36" t="s">
        <v>1082</v>
      </c>
      <c r="Z2" s="36" t="s">
        <v>1085</v>
      </c>
      <c r="AB2" s="36" t="s">
        <v>1083</v>
      </c>
      <c r="AC2" s="36" t="s">
        <v>1084</v>
      </c>
      <c r="AE2" s="36" t="s">
        <v>1083</v>
      </c>
      <c r="AF2" s="36" t="s">
        <v>1084</v>
      </c>
      <c r="AH2" s="36" t="s">
        <v>1083</v>
      </c>
      <c r="AI2" s="36" t="s">
        <v>1084</v>
      </c>
      <c r="AK2" s="36" t="s">
        <v>1083</v>
      </c>
      <c r="AL2" s="36" t="s">
        <v>1084</v>
      </c>
      <c r="AN2" s="36" t="s">
        <v>1083</v>
      </c>
      <c r="AO2" s="36" t="s">
        <v>1084</v>
      </c>
    </row>
    <row r="3" spans="1:41" x14ac:dyDescent="0.3">
      <c r="A3" s="37" t="s">
        <v>1086</v>
      </c>
      <c r="B3" s="37" t="s">
        <v>1087</v>
      </c>
      <c r="D3" s="37" t="s">
        <v>139</v>
      </c>
      <c r="E3" s="37"/>
      <c r="G3" s="37" t="s">
        <v>1088</v>
      </c>
      <c r="H3" s="37" t="s">
        <v>1089</v>
      </c>
      <c r="J3" s="37" t="s">
        <v>362</v>
      </c>
      <c r="K3" s="37" t="s">
        <v>1090</v>
      </c>
      <c r="M3" s="37" t="s">
        <v>473</v>
      </c>
      <c r="N3" s="37"/>
      <c r="P3" s="37" t="s">
        <v>1091</v>
      </c>
      <c r="Q3" s="37"/>
      <c r="S3" s="37" t="s">
        <v>1044</v>
      </c>
      <c r="T3" s="37"/>
      <c r="V3" s="37" t="s">
        <v>1092</v>
      </c>
      <c r="W3" s="37"/>
      <c r="Y3" s="37" t="s">
        <v>130</v>
      </c>
      <c r="Z3" s="37"/>
      <c r="AB3" s="37" t="s">
        <v>542</v>
      </c>
      <c r="AC3" s="37" t="s">
        <v>1093</v>
      </c>
      <c r="AE3" s="37" t="s">
        <v>910</v>
      </c>
      <c r="AF3" s="37" t="s">
        <v>1094</v>
      </c>
      <c r="AH3" s="37" t="s">
        <v>265</v>
      </c>
      <c r="AI3" s="37" t="s">
        <v>1095</v>
      </c>
      <c r="AK3" s="37" t="s">
        <v>1028</v>
      </c>
      <c r="AL3" s="37" t="s">
        <v>1096</v>
      </c>
      <c r="AN3" s="37" t="s">
        <v>109</v>
      </c>
      <c r="AO3" s="37"/>
    </row>
    <row r="4" spans="1:41" x14ac:dyDescent="0.3">
      <c r="A4" s="37" t="s">
        <v>1097</v>
      </c>
      <c r="B4" s="37" t="s">
        <v>1098</v>
      </c>
      <c r="D4" s="37" t="s">
        <v>177</v>
      </c>
      <c r="E4" s="37"/>
      <c r="G4" s="37" t="s">
        <v>1099</v>
      </c>
      <c r="H4" s="37" t="s">
        <v>1100</v>
      </c>
      <c r="J4" s="37" t="s">
        <v>1101</v>
      </c>
      <c r="K4" s="37" t="s">
        <v>1102</v>
      </c>
      <c r="M4" s="37" t="s">
        <v>1103</v>
      </c>
      <c r="N4" s="37"/>
      <c r="P4" s="37" t="s">
        <v>1104</v>
      </c>
      <c r="Q4" s="37" t="s">
        <v>1105</v>
      </c>
      <c r="S4" s="37" t="s">
        <v>550</v>
      </c>
      <c r="T4" s="37"/>
      <c r="V4" s="37" t="s">
        <v>1106</v>
      </c>
      <c r="W4" s="37"/>
      <c r="Y4" s="37" t="s">
        <v>120</v>
      </c>
      <c r="Z4" s="37"/>
      <c r="AB4" s="37" t="s">
        <v>1107</v>
      </c>
      <c r="AC4" s="37" t="s">
        <v>1108</v>
      </c>
      <c r="AE4" s="37" t="s">
        <v>570</v>
      </c>
      <c r="AF4" s="37" t="s">
        <v>1109</v>
      </c>
      <c r="AH4" s="37" t="s">
        <v>313</v>
      </c>
      <c r="AI4" s="37" t="s">
        <v>1110</v>
      </c>
      <c r="AK4" s="37" t="s">
        <v>1111</v>
      </c>
      <c r="AL4" s="37" t="s">
        <v>1112</v>
      </c>
      <c r="AN4" s="37" t="s">
        <v>1113</v>
      </c>
      <c r="AO4" s="37" t="s">
        <v>1114</v>
      </c>
    </row>
    <row r="5" spans="1:41" x14ac:dyDescent="0.3">
      <c r="A5" s="37" t="s">
        <v>1115</v>
      </c>
      <c r="B5" s="37" t="s">
        <v>1116</v>
      </c>
      <c r="D5" s="37" t="s">
        <v>119</v>
      </c>
      <c r="E5" s="37"/>
      <c r="G5" s="37" t="s">
        <v>118</v>
      </c>
      <c r="H5" s="37" t="s">
        <v>1117</v>
      </c>
      <c r="J5" s="37" t="s">
        <v>296</v>
      </c>
      <c r="K5" s="37" t="s">
        <v>1118</v>
      </c>
      <c r="M5" s="37" t="s">
        <v>467</v>
      </c>
      <c r="N5" s="37"/>
      <c r="P5" s="37" t="s">
        <v>486</v>
      </c>
      <c r="Q5" s="37" t="s">
        <v>1119</v>
      </c>
      <c r="S5" s="37" t="s">
        <v>342</v>
      </c>
      <c r="T5" s="37"/>
      <c r="V5" s="37" t="s">
        <v>1120</v>
      </c>
      <c r="W5" s="37"/>
      <c r="Y5" s="37" t="s">
        <v>204</v>
      </c>
      <c r="Z5" s="37"/>
      <c r="AB5" s="37" t="s">
        <v>1121</v>
      </c>
      <c r="AC5" s="37" t="s">
        <v>1122</v>
      </c>
      <c r="AE5" s="37" t="s">
        <v>1123</v>
      </c>
      <c r="AF5" s="37" t="s">
        <v>1124</v>
      </c>
      <c r="AH5" s="37" t="s">
        <v>110</v>
      </c>
      <c r="AI5" s="37" t="s">
        <v>1125</v>
      </c>
      <c r="AK5" s="37" t="s">
        <v>1126</v>
      </c>
      <c r="AL5" s="37" t="s">
        <v>1127</v>
      </c>
      <c r="AN5" s="37"/>
      <c r="AO5" s="37"/>
    </row>
    <row r="6" spans="1:41" x14ac:dyDescent="0.3">
      <c r="A6" s="37" t="s">
        <v>102</v>
      </c>
      <c r="B6" s="37" t="s">
        <v>1128</v>
      </c>
      <c r="D6" s="38" t="s">
        <v>227</v>
      </c>
      <c r="G6" s="37" t="s">
        <v>1129</v>
      </c>
      <c r="H6" s="37" t="s">
        <v>1130</v>
      </c>
      <c r="J6" s="37" t="s">
        <v>318</v>
      </c>
      <c r="K6" s="37" t="s">
        <v>1131</v>
      </c>
      <c r="M6" s="37" t="s">
        <v>1132</v>
      </c>
      <c r="N6" s="37"/>
      <c r="P6" s="37" t="s">
        <v>1133</v>
      </c>
      <c r="Q6" s="37" t="s">
        <v>1134</v>
      </c>
      <c r="S6" s="37" t="s">
        <v>980</v>
      </c>
      <c r="T6" s="37"/>
      <c r="Y6" s="37" t="s">
        <v>934</v>
      </c>
      <c r="Z6" s="37"/>
      <c r="AB6" s="37" t="s">
        <v>557</v>
      </c>
      <c r="AC6" s="37" t="s">
        <v>1135</v>
      </c>
      <c r="AE6" s="37" t="s">
        <v>1136</v>
      </c>
      <c r="AF6" s="37" t="s">
        <v>1137</v>
      </c>
      <c r="AH6" s="37" t="s">
        <v>211</v>
      </c>
      <c r="AI6" s="37" t="s">
        <v>1138</v>
      </c>
      <c r="AK6" s="37" t="s">
        <v>1041</v>
      </c>
      <c r="AL6" s="37" t="s">
        <v>1139</v>
      </c>
      <c r="AN6" s="37"/>
      <c r="AO6" s="37"/>
    </row>
    <row r="7" spans="1:41" x14ac:dyDescent="0.3">
      <c r="G7" s="37" t="s">
        <v>1140</v>
      </c>
      <c r="H7" s="37" t="s">
        <v>1141</v>
      </c>
      <c r="J7" s="37" t="s">
        <v>1142</v>
      </c>
      <c r="K7" s="37"/>
      <c r="M7" s="37" t="s">
        <v>1143</v>
      </c>
      <c r="N7" s="37"/>
      <c r="P7" s="37" t="s">
        <v>1144</v>
      </c>
      <c r="Q7" s="37" t="s">
        <v>1145</v>
      </c>
      <c r="S7" s="37" t="s">
        <v>144</v>
      </c>
      <c r="T7" s="37"/>
      <c r="Y7" s="37" t="s">
        <v>1146</v>
      </c>
      <c r="Z7" s="37"/>
      <c r="AB7" s="37" t="s">
        <v>1147</v>
      </c>
      <c r="AC7" s="37" t="s">
        <v>1148</v>
      </c>
      <c r="AH7" s="37" t="s">
        <v>127</v>
      </c>
      <c r="AI7" s="37" t="s">
        <v>1149</v>
      </c>
    </row>
    <row r="8" spans="1:41" x14ac:dyDescent="0.3">
      <c r="M8" s="37" t="s">
        <v>448</v>
      </c>
      <c r="N8" s="37"/>
      <c r="S8" s="37" t="s">
        <v>366</v>
      </c>
      <c r="T8" s="37"/>
      <c r="Y8" s="37" t="s">
        <v>1150</v>
      </c>
      <c r="Z8" s="37"/>
    </row>
    <row r="9" spans="1:41" x14ac:dyDescent="0.3">
      <c r="S9" s="37" t="s">
        <v>308</v>
      </c>
      <c r="T9" s="37"/>
      <c r="Y9" s="37" t="s">
        <v>1151</v>
      </c>
      <c r="Z9" s="37"/>
    </row>
    <row r="10" spans="1:41" x14ac:dyDescent="0.3">
      <c r="S10" s="37" t="s">
        <v>913</v>
      </c>
      <c r="T10" s="37"/>
      <c r="Y10" s="37" t="s">
        <v>1152</v>
      </c>
      <c r="Z10" s="37"/>
    </row>
    <row r="11" spans="1:41" x14ac:dyDescent="0.3">
      <c r="S11" s="37" t="s">
        <v>434</v>
      </c>
      <c r="T11" s="37"/>
      <c r="Y11" s="37" t="s">
        <v>497</v>
      </c>
      <c r="Z11" s="37"/>
    </row>
    <row r="12" spans="1:41" x14ac:dyDescent="0.3">
      <c r="S12" s="37" t="s">
        <v>356</v>
      </c>
      <c r="T12" s="37"/>
      <c r="Y12" s="37" t="s">
        <v>485</v>
      </c>
      <c r="Z12" s="37"/>
    </row>
    <row r="13" spans="1:41" x14ac:dyDescent="0.3">
      <c r="S13" s="37" t="s">
        <v>106</v>
      </c>
      <c r="T13" s="37"/>
      <c r="Y13" s="37" t="s">
        <v>351</v>
      </c>
      <c r="Z13" s="37" t="s">
        <v>1153</v>
      </c>
    </row>
    <row r="14" spans="1:41" x14ac:dyDescent="0.3">
      <c r="S14" s="37" t="s">
        <v>262</v>
      </c>
      <c r="T14" s="37"/>
      <c r="Y14" s="37" t="s">
        <v>330</v>
      </c>
      <c r="Z14" s="37"/>
    </row>
    <row r="15" spans="1:41" x14ac:dyDescent="0.3">
      <c r="S15" s="37" t="s">
        <v>218</v>
      </c>
      <c r="T15" s="37"/>
      <c r="Y15" s="37" t="s">
        <v>305</v>
      </c>
      <c r="Z15" s="37" t="s">
        <v>1154</v>
      </c>
    </row>
    <row r="16" spans="1:41" x14ac:dyDescent="0.3">
      <c r="S16" s="37" t="s">
        <v>299</v>
      </c>
      <c r="T16" s="37"/>
      <c r="Y16" s="37" t="s">
        <v>317</v>
      </c>
      <c r="Z16" s="37"/>
    </row>
    <row r="17" spans="19:26" x14ac:dyDescent="0.3">
      <c r="S17" s="37" t="s">
        <v>990</v>
      </c>
      <c r="T17" s="37"/>
      <c r="Y17" s="37" t="s">
        <v>466</v>
      </c>
      <c r="Z17" s="37"/>
    </row>
    <row r="18" spans="19:26" x14ac:dyDescent="0.3">
      <c r="S18" s="37" t="s">
        <v>322</v>
      </c>
      <c r="T18" s="37"/>
      <c r="Y18" s="37" t="s">
        <v>457</v>
      </c>
      <c r="Z18" s="37" t="s">
        <v>1155</v>
      </c>
    </row>
    <row r="19" spans="19:26" x14ac:dyDescent="0.3">
      <c r="S19" s="37" t="s">
        <v>238</v>
      </c>
      <c r="T19" s="37"/>
      <c r="Y19" s="37" t="s">
        <v>295</v>
      </c>
      <c r="Z19" s="37"/>
    </row>
    <row r="20" spans="19:26" x14ac:dyDescent="0.3">
      <c r="S20" s="37" t="s">
        <v>493</v>
      </c>
      <c r="T20" s="37"/>
      <c r="Y20" s="37" t="s">
        <v>101</v>
      </c>
      <c r="Z20" s="37" t="s">
        <v>1156</v>
      </c>
    </row>
    <row r="21" spans="19:26" x14ac:dyDescent="0.3">
      <c r="S21" s="37" t="s">
        <v>431</v>
      </c>
      <c r="T21" s="37"/>
      <c r="Y21" s="37" t="s">
        <v>543</v>
      </c>
      <c r="Z21" s="37"/>
    </row>
    <row r="22" spans="19:26" x14ac:dyDescent="0.3">
      <c r="S22" s="37" t="s">
        <v>1017</v>
      </c>
      <c r="T22" s="37"/>
      <c r="Y22" s="37" t="s">
        <v>447</v>
      </c>
      <c r="Z22" s="37"/>
    </row>
    <row r="23" spans="19:26" x14ac:dyDescent="0.3">
      <c r="S23" s="37" t="s">
        <v>124</v>
      </c>
      <c r="T23" s="37"/>
      <c r="Y23" s="37" t="s">
        <v>475</v>
      </c>
      <c r="Z23" s="37"/>
    </row>
    <row r="24" spans="19:26" x14ac:dyDescent="0.3">
      <c r="S24" s="37" t="s">
        <v>920</v>
      </c>
      <c r="T24" s="37"/>
      <c r="Y24" s="37" t="s">
        <v>558</v>
      </c>
      <c r="Z24" s="37"/>
    </row>
    <row r="25" spans="19:26" x14ac:dyDescent="0.3">
      <c r="S25" s="37" t="s">
        <v>717</v>
      </c>
      <c r="T25" s="37"/>
      <c r="Y25" s="37" t="s">
        <v>508</v>
      </c>
      <c r="Z25" s="37"/>
    </row>
    <row r="26" spans="19:26" x14ac:dyDescent="0.3">
      <c r="S26" s="37" t="s">
        <v>502</v>
      </c>
      <c r="T26" s="37"/>
      <c r="Y26" s="37" t="s">
        <v>123</v>
      </c>
      <c r="Z26" s="37"/>
    </row>
    <row r="27" spans="19:26" x14ac:dyDescent="0.3">
      <c r="S27" s="37" t="s">
        <v>335</v>
      </c>
      <c r="T27" s="37"/>
    </row>
    <row r="28" spans="19:26" x14ac:dyDescent="0.3">
      <c r="S28" s="37" t="s">
        <v>490</v>
      </c>
      <c r="T28" s="37"/>
    </row>
    <row r="29" spans="19:26" x14ac:dyDescent="0.3">
      <c r="S29" s="37" t="s">
        <v>547</v>
      </c>
      <c r="T29" s="37"/>
    </row>
    <row r="30" spans="19:26" x14ac:dyDescent="0.3">
      <c r="S30" s="37" t="s">
        <v>573</v>
      </c>
      <c r="T30" s="37"/>
    </row>
    <row r="31" spans="19:26" x14ac:dyDescent="0.3">
      <c r="S31" s="37" t="s">
        <v>1056</v>
      </c>
      <c r="T31" s="37"/>
    </row>
    <row r="32" spans="19:26" x14ac:dyDescent="0.3">
      <c r="S32" s="37" t="s">
        <v>1005</v>
      </c>
      <c r="T32" s="37"/>
    </row>
    <row r="33" spans="19:20" x14ac:dyDescent="0.3">
      <c r="S33" s="37" t="s">
        <v>847</v>
      </c>
      <c r="T33" s="37"/>
    </row>
  </sheetData>
  <mergeCells count="14">
    <mergeCell ref="AE1:AF1"/>
    <mergeCell ref="AH1:AI1"/>
    <mergeCell ref="AK1:AL1"/>
    <mergeCell ref="AN1:AO1"/>
    <mergeCell ref="P1:Q1"/>
    <mergeCell ref="S1:T1"/>
    <mergeCell ref="V1:W1"/>
    <mergeCell ref="Y1:Z1"/>
    <mergeCell ref="AB1:AC1"/>
    <mergeCell ref="A1:B1"/>
    <mergeCell ref="D1:E1"/>
    <mergeCell ref="G1:H1"/>
    <mergeCell ref="J1:K1"/>
    <mergeCell ref="M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Index</vt:lpstr>
      <vt:lpstr>ANA</vt:lpstr>
      <vt:lpstr>CAP</vt:lpstr>
      <vt:lpstr>CNT</vt:lpstr>
      <vt:lpstr>CPD</vt:lpstr>
      <vt:lpstr>DIO</vt:lpstr>
      <vt:lpstr>FAB</vt:lpstr>
      <vt:lpstr>ICS</vt:lpstr>
      <vt:lpstr>IND</vt:lpstr>
      <vt:lpstr>MCU</vt:lpstr>
      <vt:lpstr>MEC</vt:lpstr>
      <vt:lpstr>MRK</vt:lpstr>
      <vt:lpstr>OPT</vt:lpstr>
      <vt:lpstr>OSC</vt:lpstr>
      <vt:lpstr>REG</vt:lpstr>
      <vt:lpstr>RES</vt:lpstr>
      <vt:lpstr>RFM</vt:lpstr>
      <vt:lpstr>RLY</vt:lpstr>
      <vt:lpstr>SEN</vt:lpstr>
      <vt:lpstr>SOC</vt:lpstr>
      <vt:lpstr>SWI</vt:lpstr>
      <vt:lpstr>TRN</vt:lpstr>
      <vt:lpstr>_enum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Jesse Farrell</cp:lastModifiedBy>
  <cp:revision>0</cp:revision>
  <dcterms:created xsi:type="dcterms:W3CDTF">2026-07-19T19:09:24Z</dcterms:created>
  <dcterms:modified xsi:type="dcterms:W3CDTF">2026-07-20T03:53:37Z</dcterms:modified>
  <dc:language>en-US</dc:language>
</cp:coreProperties>
</file>